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OR Monthly Opreational Review\Monthly Opreational Review 2026\MOR APR 2026\"/>
    </mc:Choice>
  </mc:AlternateContent>
  <xr:revisionPtr revIDLastSave="0" documentId="13_ncr:1_{A91D53DA-DFF3-4D97-9895-328249CAA9CE}" xr6:coauthVersionLast="47" xr6:coauthVersionMax="47" xr10:uidLastSave="{00000000-0000-0000-0000-000000000000}"/>
  <bookViews>
    <workbookView xWindow="-120" yWindow="-120" windowWidth="25440" windowHeight="15540" activeTab="1" xr2:uid="{6379D9CA-1C81-4F04-BC73-42AE183814CC}"/>
  </bookViews>
  <sheets>
    <sheet name="PRINTING" sheetId="1" r:id="rId1"/>
    <sheet name="PRINTING SUMMARY" sheetId="6" r:id="rId2"/>
    <sheet name="PT-01" sheetId="3" r:id="rId3"/>
    <sheet name="PT-01 SUMMARY" sheetId="7" r:id="rId4"/>
    <sheet name="PP" sheetId="5" r:id="rId5"/>
    <sheet name="PP SUMMARY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4" i="6" l="1"/>
  <c r="Q9" i="3"/>
  <c r="C9" i="3"/>
  <c r="C4" i="3"/>
  <c r="C8" i="3"/>
  <c r="C2" i="3"/>
  <c r="P6" i="5"/>
  <c r="R8" i="5"/>
  <c r="C8" i="5"/>
  <c r="C9" i="5"/>
  <c r="C5" i="5"/>
  <c r="C4" i="5"/>
  <c r="C2" i="5"/>
  <c r="C9" i="1"/>
  <c r="C10" i="1"/>
  <c r="C5" i="1"/>
  <c r="C4" i="1"/>
  <c r="C3" i="1"/>
  <c r="C2" i="1"/>
  <c r="C7" i="1"/>
  <c r="R48" i="7"/>
  <c r="R51" i="7" s="1"/>
  <c r="AA24" i="6"/>
  <c r="AB28" i="6" l="1"/>
  <c r="AB30" i="6" s="1"/>
  <c r="AB31" i="6" s="1"/>
  <c r="AB29" i="6"/>
  <c r="AA29" i="6"/>
  <c r="AA28" i="6"/>
  <c r="AA30" i="6" s="1"/>
  <c r="AA31" i="6" s="1"/>
  <c r="S2" i="3"/>
  <c r="S5" i="3"/>
  <c r="Q6" i="3" l="1"/>
  <c r="Q7" i="3" s="1"/>
  <c r="P43" i="9" l="1"/>
  <c r="P46" i="9" s="1"/>
  <c r="Q48" i="7"/>
  <c r="Q51" i="7" s="1"/>
  <c r="C3" i="5"/>
  <c r="P55" i="9" l="1"/>
  <c r="P54" i="9"/>
  <c r="Z24" i="6" l="1"/>
  <c r="Z28" i="6" s="1"/>
  <c r="Z30" i="6" s="1"/>
  <c r="Z31" i="6" s="1"/>
  <c r="Y24" i="6"/>
  <c r="Y29" i="6" s="1"/>
  <c r="Y28" i="6" l="1"/>
  <c r="Y30" i="6" s="1"/>
  <c r="Y31" i="6" s="1"/>
  <c r="Z29" i="6"/>
  <c r="Q6" i="5" l="1"/>
  <c r="C3" i="3" l="1"/>
  <c r="O51" i="7"/>
  <c r="M51" i="7"/>
  <c r="K51" i="7"/>
  <c r="I51" i="7"/>
  <c r="G51" i="7"/>
  <c r="E51" i="7"/>
  <c r="P48" i="7"/>
  <c r="P51" i="7" s="1"/>
  <c r="O48" i="7"/>
  <c r="N48" i="7"/>
  <c r="N51" i="7" s="1"/>
  <c r="M48" i="7"/>
  <c r="L48" i="7"/>
  <c r="L51" i="7" s="1"/>
  <c r="K48" i="7"/>
  <c r="J48" i="7"/>
  <c r="J51" i="7" s="1"/>
  <c r="I48" i="7"/>
  <c r="H48" i="7"/>
  <c r="H51" i="7" s="1"/>
  <c r="G48" i="7"/>
  <c r="F48" i="7"/>
  <c r="F51" i="7" s="1"/>
  <c r="E48" i="7"/>
  <c r="D48" i="7"/>
  <c r="D51" i="7" s="1"/>
  <c r="P36" i="7"/>
  <c r="O36" i="7"/>
  <c r="N36" i="7"/>
  <c r="K36" i="7"/>
  <c r="J36" i="7"/>
  <c r="I36" i="7"/>
  <c r="H36" i="7"/>
  <c r="G36" i="7"/>
  <c r="F36" i="7"/>
  <c r="E36" i="7"/>
  <c r="D36" i="7"/>
  <c r="P34" i="7"/>
  <c r="O34" i="7"/>
  <c r="P33" i="7"/>
  <c r="O33" i="7"/>
  <c r="P32" i="7"/>
  <c r="O32" i="7"/>
  <c r="P31" i="7"/>
  <c r="O31" i="7"/>
  <c r="M36" i="7"/>
  <c r="L36" i="7"/>
  <c r="L55" i="9"/>
  <c r="H55" i="9"/>
  <c r="D55" i="9"/>
  <c r="N46" i="9"/>
  <c r="N55" i="9" s="1"/>
  <c r="L46" i="9"/>
  <c r="L54" i="9" s="1"/>
  <c r="J46" i="9"/>
  <c r="J55" i="9" s="1"/>
  <c r="H46" i="9"/>
  <c r="H54" i="9" s="1"/>
  <c r="F46" i="9"/>
  <c r="F55" i="9" s="1"/>
  <c r="D46" i="9"/>
  <c r="D54" i="9" s="1"/>
  <c r="O43" i="9"/>
  <c r="O46" i="9" s="1"/>
  <c r="N43" i="9"/>
  <c r="M43" i="9"/>
  <c r="M46" i="9" s="1"/>
  <c r="L43" i="9"/>
  <c r="K43" i="9"/>
  <c r="K46" i="9" s="1"/>
  <c r="J43" i="9"/>
  <c r="I43" i="9"/>
  <c r="I46" i="9" s="1"/>
  <c r="H43" i="9"/>
  <c r="G43" i="9"/>
  <c r="G46" i="9" s="1"/>
  <c r="F43" i="9"/>
  <c r="E43" i="9"/>
  <c r="E46" i="9" s="1"/>
  <c r="D43" i="9"/>
  <c r="C43" i="9"/>
  <c r="C46" i="9" s="1"/>
  <c r="C55" i="9" l="1"/>
  <c r="C54" i="9"/>
  <c r="G55" i="9"/>
  <c r="G54" i="9"/>
  <c r="K55" i="9"/>
  <c r="K54" i="9"/>
  <c r="O55" i="9"/>
  <c r="O54" i="9"/>
  <c r="E54" i="9"/>
  <c r="E55" i="9"/>
  <c r="I54" i="9"/>
  <c r="I55" i="9"/>
  <c r="M54" i="9"/>
  <c r="M55" i="9"/>
  <c r="F54" i="9"/>
  <c r="J54" i="9"/>
  <c r="N54" i="9"/>
  <c r="C13" i="5" l="1"/>
  <c r="R6" i="5" l="1"/>
  <c r="R7" i="5" s="1"/>
  <c r="AA4" i="5"/>
  <c r="P4" i="5" s="1"/>
  <c r="AA3" i="5"/>
  <c r="P3" i="5" s="1"/>
  <c r="Z4" i="3" l="1"/>
  <c r="P4" i="3" s="1"/>
  <c r="Z3" i="3"/>
  <c r="P3" i="3" s="1"/>
  <c r="X20" i="6" l="1"/>
  <c r="X24" i="6" s="1"/>
  <c r="X29" i="6" s="1"/>
  <c r="W24" i="6"/>
  <c r="W28" i="6" s="1"/>
  <c r="W30" i="6" s="1"/>
  <c r="W31" i="6" s="1"/>
  <c r="V24" i="6"/>
  <c r="V30" i="6"/>
  <c r="V31" i="6" s="1"/>
  <c r="W29" i="6" l="1"/>
  <c r="X28" i="6"/>
  <c r="X30" i="6" s="1"/>
  <c r="X31" i="6" s="1"/>
  <c r="V29" i="6"/>
  <c r="U10" i="6" l="1"/>
  <c r="U11" i="6" s="1"/>
  <c r="U24" i="6"/>
  <c r="R11" i="6"/>
  <c r="Q11" i="6"/>
  <c r="P11" i="6"/>
  <c r="O11" i="6"/>
  <c r="N11" i="6"/>
  <c r="M11" i="6"/>
  <c r="L11" i="6"/>
  <c r="K11" i="6"/>
  <c r="U28" i="6" l="1"/>
  <c r="U30" i="6" s="1"/>
  <c r="U31" i="6" s="1"/>
  <c r="U29" i="6"/>
  <c r="M10" i="7"/>
  <c r="N10" i="7"/>
  <c r="K10" i="7"/>
  <c r="J10" i="7"/>
  <c r="I10" i="7"/>
  <c r="H10" i="7"/>
  <c r="G10" i="7"/>
  <c r="F10" i="7"/>
  <c r="E10" i="7"/>
  <c r="D10" i="7"/>
  <c r="L10" i="7" l="1"/>
  <c r="M10" i="9" l="1"/>
  <c r="L10" i="9"/>
  <c r="K10" i="9"/>
  <c r="J10" i="9"/>
  <c r="H10" i="9"/>
  <c r="G10" i="9"/>
  <c r="F10" i="9"/>
  <c r="E10" i="9"/>
  <c r="D10" i="9"/>
  <c r="C10" i="9"/>
  <c r="J25" i="9"/>
  <c r="L22" i="9"/>
  <c r="L25" i="9" s="1"/>
  <c r="K22" i="9"/>
  <c r="K25" i="9" s="1"/>
  <c r="J22" i="9"/>
  <c r="I22" i="9"/>
  <c r="I25" i="9" s="1"/>
  <c r="H22" i="9"/>
  <c r="H25" i="9" s="1"/>
  <c r="G22" i="9"/>
  <c r="F22" i="9"/>
  <c r="E22" i="9"/>
  <c r="D22" i="9"/>
  <c r="M22" i="9"/>
  <c r="M25" i="9" s="1"/>
  <c r="R6" i="3" l="1"/>
  <c r="R7" i="3" s="1"/>
  <c r="O1" i="1" l="1"/>
  <c r="T4" i="6" l="1"/>
  <c r="T11" i="6" s="1"/>
  <c r="T24" i="6"/>
  <c r="S24" i="6"/>
  <c r="R24" i="6"/>
  <c r="Q24" i="6"/>
  <c r="P24" i="6"/>
  <c r="O24" i="6"/>
  <c r="N24" i="6"/>
  <c r="M24" i="6"/>
  <c r="L24" i="6"/>
  <c r="K24" i="6"/>
  <c r="F198" i="6"/>
  <c r="F202" i="6" s="1"/>
  <c r="O28" i="6" l="1"/>
  <c r="O30" i="6" s="1"/>
  <c r="O31" i="6" s="1"/>
  <c r="O29" i="6"/>
  <c r="P28" i="6"/>
  <c r="P30" i="6" s="1"/>
  <c r="P31" i="6" s="1"/>
  <c r="P29" i="6"/>
  <c r="T28" i="6"/>
  <c r="T30" i="6" s="1"/>
  <c r="T31" i="6" s="1"/>
  <c r="T29" i="6"/>
  <c r="K28" i="6"/>
  <c r="K30" i="6" s="1"/>
  <c r="K29" i="6"/>
  <c r="L28" i="6"/>
  <c r="L30" i="6" s="1"/>
  <c r="L31" i="6" s="1"/>
  <c r="L29" i="6"/>
  <c r="M28" i="6"/>
  <c r="M30" i="6" s="1"/>
  <c r="M31" i="6" s="1"/>
  <c r="M29" i="6"/>
  <c r="Q28" i="6"/>
  <c r="Q30" i="6" s="1"/>
  <c r="Q31" i="6" s="1"/>
  <c r="Q29" i="6"/>
  <c r="S28" i="6"/>
  <c r="S30" i="6" s="1"/>
  <c r="S31" i="6" s="1"/>
  <c r="S29" i="6"/>
  <c r="N28" i="6"/>
  <c r="N30" i="6" s="1"/>
  <c r="N31" i="6" s="1"/>
  <c r="N29" i="6"/>
  <c r="R28" i="6"/>
  <c r="R30" i="6" s="1"/>
  <c r="R31" i="6" s="1"/>
  <c r="R29" i="6"/>
  <c r="T15" i="5" l="1"/>
  <c r="U15" i="5" s="1"/>
  <c r="S15" i="5"/>
  <c r="T13" i="5"/>
  <c r="T12" i="5"/>
  <c r="T11" i="5"/>
  <c r="T10" i="5"/>
  <c r="S22" i="3" l="1"/>
  <c r="U22" i="3" s="1"/>
  <c r="T22" i="3"/>
  <c r="U21" i="3" l="1"/>
  <c r="U20" i="3"/>
  <c r="U19" i="3"/>
  <c r="U18" i="3"/>
  <c r="U17" i="3"/>
  <c r="U16" i="3"/>
  <c r="U15" i="3"/>
  <c r="U14" i="3"/>
  <c r="U13" i="3"/>
  <c r="U12" i="3"/>
  <c r="U5" i="3"/>
  <c r="I4" i="3" s="1"/>
  <c r="V5" i="3"/>
  <c r="J4" i="3" s="1"/>
  <c r="W5" i="3"/>
  <c r="K4" i="3" s="1"/>
  <c r="X5" i="3"/>
  <c r="L4" i="3" s="1"/>
  <c r="Y5" i="3"/>
  <c r="M4" i="3" s="1"/>
  <c r="N4" i="3" l="1"/>
  <c r="Z5" i="3"/>
  <c r="S4" i="6"/>
  <c r="S11" i="6" s="1"/>
  <c r="I10" i="9" l="1"/>
  <c r="O1" i="5" l="1"/>
  <c r="O1" i="3" l="1"/>
  <c r="N4" i="1" l="1"/>
  <c r="F138" i="6" l="1"/>
  <c r="E138" i="6"/>
  <c r="D138" i="6"/>
  <c r="C138" i="6"/>
  <c r="Q7" i="5" l="1"/>
  <c r="Y5" i="5"/>
  <c r="L4" i="5" s="1"/>
  <c r="C13" i="3" l="1"/>
  <c r="F98" i="6" l="1"/>
  <c r="F102" i="6" s="1"/>
  <c r="E98" i="6"/>
  <c r="D98" i="6"/>
  <c r="C98" i="6"/>
  <c r="G25" i="9" l="1"/>
  <c r="H22" i="7" l="1"/>
  <c r="H25" i="7" s="1"/>
  <c r="F78" i="6" l="1"/>
  <c r="F82" i="6" s="1"/>
  <c r="E78" i="6"/>
  <c r="D78" i="6"/>
  <c r="C78" i="6"/>
  <c r="G22" i="7" l="1"/>
  <c r="G25" i="7" s="1"/>
  <c r="F25" i="9" l="1"/>
  <c r="E25" i="9" l="1"/>
  <c r="F22" i="7" l="1"/>
  <c r="F25" i="7" s="1"/>
  <c r="F58" i="6" l="1"/>
  <c r="F62" i="6" s="1"/>
  <c r="E58" i="6"/>
  <c r="D58" i="6"/>
  <c r="C58" i="6"/>
  <c r="D25" i="9" l="1"/>
  <c r="Z5" i="5"/>
  <c r="M4" i="5" s="1"/>
  <c r="X5" i="5"/>
  <c r="K4" i="5" s="1"/>
  <c r="W5" i="5"/>
  <c r="J4" i="5" s="1"/>
  <c r="V5" i="5"/>
  <c r="I4" i="5" l="1"/>
  <c r="N4" i="5" s="1"/>
  <c r="AA5" i="5"/>
  <c r="F15" i="5" l="1"/>
  <c r="Q8" i="5"/>
  <c r="F14" i="5" s="1"/>
  <c r="E22" i="7"/>
  <c r="E25" i="7" s="1"/>
  <c r="P6" i="3" l="1"/>
  <c r="F5" i="3"/>
  <c r="F2" i="3"/>
  <c r="F4" i="3"/>
  <c r="F38" i="6"/>
  <c r="F42" i="6" s="1"/>
  <c r="E38" i="6"/>
  <c r="D38" i="6"/>
  <c r="C38" i="6"/>
  <c r="Q8" i="3" l="1"/>
  <c r="F14" i="3" s="1"/>
  <c r="R8" i="3"/>
  <c r="F15" i="3" s="1"/>
  <c r="F3" i="3"/>
  <c r="R9" i="3"/>
  <c r="C22" i="9" l="1"/>
  <c r="C25" i="9" s="1"/>
  <c r="D22" i="7"/>
  <c r="D25" i="7" s="1"/>
  <c r="F18" i="6" l="1"/>
  <c r="F22" i="6" s="1"/>
  <c r="E18" i="6"/>
  <c r="D18" i="6"/>
  <c r="C18" i="6"/>
  <c r="K31" i="6" l="1"/>
  <c r="I12" i="1"/>
  <c r="D4" i="5"/>
  <c r="D5" i="5"/>
  <c r="D6" i="5"/>
  <c r="D7" i="5"/>
  <c r="D8" i="5"/>
  <c r="D9" i="5"/>
  <c r="D10" i="5"/>
  <c r="D11" i="5"/>
  <c r="D12" i="5"/>
  <c r="D3" i="5"/>
  <c r="D2" i="5"/>
  <c r="M3" i="5" s="1"/>
  <c r="D6" i="3" l="1"/>
  <c r="D2" i="3"/>
  <c r="I3" i="3" s="1"/>
  <c r="D9" i="3"/>
  <c r="D12" i="3"/>
  <c r="D4" i="3"/>
  <c r="D3" i="3"/>
  <c r="D5" i="3"/>
  <c r="D8" i="3"/>
  <c r="D11" i="3"/>
  <c r="D7" i="3"/>
  <c r="D10" i="3"/>
  <c r="J3" i="3" l="1"/>
  <c r="L3" i="3"/>
  <c r="L5" i="3" s="1"/>
  <c r="I5" i="3"/>
  <c r="K3" i="3"/>
  <c r="K5" i="3" s="1"/>
  <c r="D7" i="1"/>
  <c r="J5" i="3" l="1"/>
  <c r="D12" i="1"/>
  <c r="D8" i="1"/>
  <c r="D4" i="1"/>
  <c r="D3" i="1"/>
  <c r="D10" i="1"/>
  <c r="D6" i="1"/>
  <c r="D13" i="1"/>
  <c r="M47" i="1" s="1"/>
  <c r="D9" i="1"/>
  <c r="D5" i="1"/>
  <c r="I15" i="1" s="1"/>
  <c r="D2" i="1"/>
  <c r="I3" i="1" s="1"/>
  <c r="I5" i="1" s="1"/>
  <c r="D11" i="1"/>
  <c r="K3" i="1" l="1"/>
  <c r="K5" i="1" s="1"/>
  <c r="J3" i="1"/>
  <c r="J5" i="1" s="1"/>
  <c r="M3" i="1"/>
  <c r="M5" i="1" s="1"/>
  <c r="L3" i="1"/>
  <c r="L5" i="1" s="1"/>
  <c r="I7" i="1"/>
  <c r="K7" i="1"/>
  <c r="J7" i="1"/>
  <c r="L7" i="1"/>
  <c r="M43" i="3"/>
  <c r="L43" i="3"/>
  <c r="K43" i="3"/>
  <c r="J43" i="3"/>
  <c r="I43" i="3"/>
  <c r="M39" i="3"/>
  <c r="L39" i="3"/>
  <c r="K39" i="3"/>
  <c r="J39" i="3"/>
  <c r="I39" i="3"/>
  <c r="M35" i="3"/>
  <c r="L35" i="3"/>
  <c r="K35" i="3"/>
  <c r="J35" i="3"/>
  <c r="I35" i="3"/>
  <c r="M31" i="3"/>
  <c r="L31" i="3"/>
  <c r="K31" i="3"/>
  <c r="J31" i="3"/>
  <c r="I31" i="3"/>
  <c r="M27" i="3"/>
  <c r="L27" i="3"/>
  <c r="K27" i="3"/>
  <c r="J27" i="3"/>
  <c r="I27" i="3"/>
  <c r="M23" i="3"/>
  <c r="L23" i="3"/>
  <c r="K23" i="3"/>
  <c r="J23" i="3"/>
  <c r="I23" i="3"/>
  <c r="M19" i="3"/>
  <c r="L19" i="3"/>
  <c r="K19" i="3"/>
  <c r="J19" i="3"/>
  <c r="I19" i="3"/>
  <c r="M15" i="3"/>
  <c r="L15" i="3"/>
  <c r="K15" i="3"/>
  <c r="J15" i="3"/>
  <c r="I15" i="3"/>
  <c r="M11" i="3"/>
  <c r="L11" i="3"/>
  <c r="K11" i="3"/>
  <c r="J11" i="3"/>
  <c r="I11" i="3"/>
  <c r="M7" i="3"/>
  <c r="L7" i="3"/>
  <c r="K7" i="3"/>
  <c r="J7" i="3"/>
  <c r="I7" i="3"/>
  <c r="M3" i="3" l="1"/>
  <c r="N3" i="3" s="1"/>
  <c r="N5" i="3" s="1"/>
  <c r="M43" i="5" l="1"/>
  <c r="L43" i="5"/>
  <c r="K43" i="5"/>
  <c r="J43" i="5"/>
  <c r="I43" i="5"/>
  <c r="M39" i="5"/>
  <c r="L39" i="5"/>
  <c r="K39" i="5"/>
  <c r="J39" i="5"/>
  <c r="I39" i="5"/>
  <c r="M31" i="5"/>
  <c r="L31" i="5"/>
  <c r="K31" i="5"/>
  <c r="J31" i="5"/>
  <c r="I31" i="5"/>
  <c r="M15" i="5"/>
  <c r="L15" i="5"/>
  <c r="K15" i="5"/>
  <c r="J15" i="5"/>
  <c r="I15" i="5"/>
  <c r="M7" i="5"/>
  <c r="L7" i="5"/>
  <c r="K7" i="5"/>
  <c r="J7" i="5"/>
  <c r="I7" i="5"/>
  <c r="I8" i="5"/>
  <c r="I47" i="1"/>
  <c r="I9" i="5" l="1"/>
  <c r="L47" i="1"/>
  <c r="L19" i="1"/>
  <c r="M19" i="1"/>
  <c r="K19" i="1"/>
  <c r="J19" i="1"/>
  <c r="I19" i="1"/>
  <c r="M48" i="1" l="1"/>
  <c r="L48" i="1"/>
  <c r="K48" i="1"/>
  <c r="J48" i="1"/>
  <c r="I48" i="1"/>
  <c r="M44" i="1"/>
  <c r="L44" i="1"/>
  <c r="K44" i="1"/>
  <c r="J44" i="1"/>
  <c r="I44" i="1"/>
  <c r="M40" i="1"/>
  <c r="L40" i="1"/>
  <c r="K40" i="1"/>
  <c r="J40" i="1"/>
  <c r="I40" i="1"/>
  <c r="M36" i="1"/>
  <c r="L36" i="1"/>
  <c r="K36" i="1"/>
  <c r="J36" i="1"/>
  <c r="I36" i="1"/>
  <c r="M32" i="1"/>
  <c r="L32" i="1"/>
  <c r="K32" i="1"/>
  <c r="J32" i="1"/>
  <c r="I32" i="1"/>
  <c r="M28" i="1"/>
  <c r="L28" i="1"/>
  <c r="K28" i="1"/>
  <c r="J28" i="1"/>
  <c r="I28" i="1"/>
  <c r="M24" i="1"/>
  <c r="L24" i="1"/>
  <c r="K24" i="1"/>
  <c r="J24" i="1"/>
  <c r="I24" i="1"/>
  <c r="M20" i="1"/>
  <c r="M21" i="1" s="1"/>
  <c r="L20" i="1"/>
  <c r="L21" i="1" s="1"/>
  <c r="K20" i="1"/>
  <c r="K21" i="1" s="1"/>
  <c r="J20" i="1"/>
  <c r="J21" i="1" s="1"/>
  <c r="I20" i="1"/>
  <c r="I21" i="1" s="1"/>
  <c r="M16" i="1"/>
  <c r="L16" i="1"/>
  <c r="K16" i="1"/>
  <c r="J16" i="1"/>
  <c r="I16" i="1"/>
  <c r="M12" i="1"/>
  <c r="L12" i="1"/>
  <c r="K12" i="1"/>
  <c r="J12" i="1"/>
  <c r="M44" i="5" l="1"/>
  <c r="M45" i="5" s="1"/>
  <c r="L44" i="5"/>
  <c r="L45" i="5" s="1"/>
  <c r="K44" i="5"/>
  <c r="K45" i="5" s="1"/>
  <c r="J44" i="5"/>
  <c r="J45" i="5" s="1"/>
  <c r="I44" i="5"/>
  <c r="I45" i="5" s="1"/>
  <c r="M40" i="5"/>
  <c r="M41" i="5" s="1"/>
  <c r="L40" i="5"/>
  <c r="L41" i="5" s="1"/>
  <c r="K40" i="5"/>
  <c r="K41" i="5" s="1"/>
  <c r="J40" i="5"/>
  <c r="J41" i="5" s="1"/>
  <c r="I40" i="5"/>
  <c r="I41" i="5" s="1"/>
  <c r="M36" i="5"/>
  <c r="L36" i="5"/>
  <c r="K36" i="5"/>
  <c r="J36" i="5"/>
  <c r="I36" i="5"/>
  <c r="M32" i="5"/>
  <c r="M33" i="5" s="1"/>
  <c r="L32" i="5"/>
  <c r="L33" i="5" s="1"/>
  <c r="K32" i="5"/>
  <c r="K33" i="5" s="1"/>
  <c r="J32" i="5"/>
  <c r="J33" i="5" s="1"/>
  <c r="I32" i="5"/>
  <c r="I33" i="5" s="1"/>
  <c r="M28" i="5"/>
  <c r="L28" i="5"/>
  <c r="K28" i="5"/>
  <c r="J28" i="5"/>
  <c r="I28" i="5"/>
  <c r="M24" i="5"/>
  <c r="L24" i="5"/>
  <c r="K24" i="5"/>
  <c r="J24" i="5"/>
  <c r="I24" i="5"/>
  <c r="M20" i="5"/>
  <c r="L20" i="5"/>
  <c r="K20" i="5"/>
  <c r="J20" i="5"/>
  <c r="I20" i="5"/>
  <c r="M16" i="5"/>
  <c r="M17" i="5" s="1"/>
  <c r="L16" i="5"/>
  <c r="L17" i="5" s="1"/>
  <c r="K16" i="5"/>
  <c r="K17" i="5" s="1"/>
  <c r="J16" i="5"/>
  <c r="J17" i="5" s="1"/>
  <c r="I16" i="5"/>
  <c r="I17" i="5" s="1"/>
  <c r="M12" i="5"/>
  <c r="L12" i="5"/>
  <c r="K12" i="5"/>
  <c r="J12" i="5"/>
  <c r="I12" i="5"/>
  <c r="M8" i="5"/>
  <c r="M9" i="5" s="1"/>
  <c r="L8" i="5"/>
  <c r="L9" i="5" s="1"/>
  <c r="K8" i="5"/>
  <c r="K9" i="5" s="1"/>
  <c r="J8" i="5"/>
  <c r="J9" i="5" s="1"/>
  <c r="J1" i="5"/>
  <c r="K1" i="5" s="1"/>
  <c r="L1" i="5" s="1"/>
  <c r="M1" i="5" s="1"/>
  <c r="F6" i="5" l="1"/>
  <c r="L35" i="5"/>
  <c r="L37" i="5" s="1"/>
  <c r="K35" i="5"/>
  <c r="K37" i="5" s="1"/>
  <c r="J35" i="5"/>
  <c r="J37" i="5" s="1"/>
  <c r="M35" i="5"/>
  <c r="M37" i="5" s="1"/>
  <c r="I35" i="5"/>
  <c r="I37" i="5" s="1"/>
  <c r="M27" i="5"/>
  <c r="M29" i="5" s="1"/>
  <c r="I27" i="5"/>
  <c r="I29" i="5" s="1"/>
  <c r="L27" i="5"/>
  <c r="L29" i="5" s="1"/>
  <c r="K27" i="5"/>
  <c r="K29" i="5" s="1"/>
  <c r="J27" i="5"/>
  <c r="J29" i="5" s="1"/>
  <c r="K23" i="5"/>
  <c r="K25" i="5" s="1"/>
  <c r="J23" i="5"/>
  <c r="J25" i="5" s="1"/>
  <c r="M23" i="5"/>
  <c r="M25" i="5" s="1"/>
  <c r="I23" i="5"/>
  <c r="I25" i="5" s="1"/>
  <c r="L23" i="5"/>
  <c r="L25" i="5" s="1"/>
  <c r="J19" i="5"/>
  <c r="J21" i="5" s="1"/>
  <c r="M19" i="5"/>
  <c r="M21" i="5" s="1"/>
  <c r="I19" i="5"/>
  <c r="I21" i="5" s="1"/>
  <c r="L19" i="5"/>
  <c r="L21" i="5" s="1"/>
  <c r="K19" i="5"/>
  <c r="K21" i="5" s="1"/>
  <c r="J11" i="5"/>
  <c r="J13" i="5" s="1"/>
  <c r="M11" i="5"/>
  <c r="M13" i="5" s="1"/>
  <c r="I11" i="5"/>
  <c r="I13" i="5" s="1"/>
  <c r="L11" i="5"/>
  <c r="L13" i="5" s="1"/>
  <c r="K11" i="5"/>
  <c r="K13" i="5" s="1"/>
  <c r="M5" i="5"/>
  <c r="L3" i="5"/>
  <c r="L5" i="5" s="1"/>
  <c r="K3" i="5"/>
  <c r="K5" i="5" s="1"/>
  <c r="J3" i="5"/>
  <c r="J5" i="5" s="1"/>
  <c r="I3" i="5"/>
  <c r="I5" i="5" s="1"/>
  <c r="N28" i="5"/>
  <c r="N40" i="5"/>
  <c r="N44" i="5"/>
  <c r="F4" i="5"/>
  <c r="F3" i="5"/>
  <c r="N16" i="5"/>
  <c r="N20" i="5"/>
  <c r="N32" i="5"/>
  <c r="N36" i="5"/>
  <c r="N24" i="5"/>
  <c r="N12" i="5"/>
  <c r="D13" i="5"/>
  <c r="F12" i="5"/>
  <c r="F10" i="5"/>
  <c r="F11" i="5"/>
  <c r="F9" i="5"/>
  <c r="F5" i="5"/>
  <c r="F8" i="5"/>
  <c r="F2" i="5"/>
  <c r="F7" i="5"/>
  <c r="N8" i="5"/>
  <c r="N7" i="5" l="1"/>
  <c r="N9" i="5" s="1"/>
  <c r="E3" i="5" s="1"/>
  <c r="F13" i="5"/>
  <c r="F16" i="5" s="1"/>
  <c r="N35" i="5"/>
  <c r="N37" i="5" s="1"/>
  <c r="E10" i="5" s="1"/>
  <c r="N43" i="5"/>
  <c r="N45" i="5" s="1"/>
  <c r="E12" i="5" s="1"/>
  <c r="N39" i="5"/>
  <c r="N41" i="5" s="1"/>
  <c r="E11" i="5" s="1"/>
  <c r="N11" i="5"/>
  <c r="N13" i="5" s="1"/>
  <c r="E4" i="5" s="1"/>
  <c r="N19" i="5"/>
  <c r="N21" i="5" s="1"/>
  <c r="E6" i="5" s="1"/>
  <c r="N31" i="5"/>
  <c r="N33" i="5" s="1"/>
  <c r="E9" i="5" s="1"/>
  <c r="N15" i="5"/>
  <c r="N17" i="5" s="1"/>
  <c r="E5" i="5" s="1"/>
  <c r="N27" i="5"/>
  <c r="N29" i="5" s="1"/>
  <c r="E8" i="5" s="1"/>
  <c r="N23" i="5"/>
  <c r="N25" i="5" s="1"/>
  <c r="E7" i="5" s="1"/>
  <c r="N3" i="5" l="1"/>
  <c r="N5" i="5" s="1"/>
  <c r="M44" i="3"/>
  <c r="L44" i="3"/>
  <c r="K44" i="3"/>
  <c r="J44" i="3"/>
  <c r="I44" i="3"/>
  <c r="M40" i="3"/>
  <c r="L40" i="3"/>
  <c r="K40" i="3"/>
  <c r="J40" i="3"/>
  <c r="I40" i="3"/>
  <c r="M36" i="3"/>
  <c r="L36" i="3"/>
  <c r="K36" i="3"/>
  <c r="J36" i="3"/>
  <c r="I36" i="3"/>
  <c r="M32" i="3"/>
  <c r="L32" i="3"/>
  <c r="K32" i="3"/>
  <c r="J32" i="3"/>
  <c r="I32" i="3"/>
  <c r="M28" i="3"/>
  <c r="L28" i="3"/>
  <c r="K28" i="3"/>
  <c r="J28" i="3"/>
  <c r="I28" i="3"/>
  <c r="M24" i="3"/>
  <c r="L24" i="3"/>
  <c r="K24" i="3"/>
  <c r="J24" i="3"/>
  <c r="I24" i="3"/>
  <c r="M20" i="3"/>
  <c r="L20" i="3"/>
  <c r="K20" i="3"/>
  <c r="J20" i="3"/>
  <c r="I20" i="3"/>
  <c r="M16" i="3"/>
  <c r="M17" i="3" s="1"/>
  <c r="L16" i="3"/>
  <c r="L17" i="3" s="1"/>
  <c r="K16" i="3"/>
  <c r="K17" i="3" s="1"/>
  <c r="J16" i="3"/>
  <c r="J17" i="3" s="1"/>
  <c r="I16" i="3"/>
  <c r="I17" i="3" s="1"/>
  <c r="M12" i="3"/>
  <c r="L12" i="3"/>
  <c r="K12" i="3"/>
  <c r="J12" i="3"/>
  <c r="I12" i="3"/>
  <c r="J8" i="3"/>
  <c r="J9" i="3" s="1"/>
  <c r="K8" i="3"/>
  <c r="K9" i="3" s="1"/>
  <c r="L8" i="3"/>
  <c r="L9" i="3" s="1"/>
  <c r="M8" i="3"/>
  <c r="M9" i="3" s="1"/>
  <c r="I8" i="3"/>
  <c r="I9" i="3" s="1"/>
  <c r="J1" i="3"/>
  <c r="K1" i="3" s="1"/>
  <c r="L1" i="3" s="1"/>
  <c r="M1" i="3" s="1"/>
  <c r="N40" i="1"/>
  <c r="N48" i="1"/>
  <c r="N44" i="1"/>
  <c r="N36" i="1"/>
  <c r="N32" i="1"/>
  <c r="N28" i="1"/>
  <c r="F12" i="3" l="1"/>
  <c r="E2" i="5"/>
  <c r="E13" i="5" s="1"/>
  <c r="M41" i="3"/>
  <c r="I41" i="3"/>
  <c r="K41" i="3"/>
  <c r="L41" i="3"/>
  <c r="J41" i="3"/>
  <c r="K33" i="3"/>
  <c r="L33" i="3"/>
  <c r="M33" i="3"/>
  <c r="I33" i="3"/>
  <c r="J33" i="3"/>
  <c r="J29" i="3"/>
  <c r="K29" i="3"/>
  <c r="M29" i="3"/>
  <c r="I29" i="3"/>
  <c r="L29" i="3"/>
  <c r="M25" i="3"/>
  <c r="I25" i="3"/>
  <c r="J25" i="3"/>
  <c r="K25" i="3"/>
  <c r="L25" i="3"/>
  <c r="L21" i="3"/>
  <c r="M21" i="3"/>
  <c r="I21" i="3"/>
  <c r="K21" i="3"/>
  <c r="J21" i="3"/>
  <c r="K47" i="1"/>
  <c r="K49" i="1" s="1"/>
  <c r="M49" i="1"/>
  <c r="J47" i="1"/>
  <c r="I49" i="1"/>
  <c r="L49" i="1"/>
  <c r="L31" i="1"/>
  <c r="L33" i="1" s="1"/>
  <c r="K31" i="1"/>
  <c r="K33" i="1" s="1"/>
  <c r="J31" i="1"/>
  <c r="J33" i="1" s="1"/>
  <c r="M31" i="1"/>
  <c r="M33" i="1" s="1"/>
  <c r="I31" i="1"/>
  <c r="I33" i="1" s="1"/>
  <c r="J43" i="1"/>
  <c r="J45" i="1" s="1"/>
  <c r="M43" i="1"/>
  <c r="M45" i="1" s="1"/>
  <c r="I43" i="1"/>
  <c r="L43" i="1"/>
  <c r="L45" i="1" s="1"/>
  <c r="K43" i="1"/>
  <c r="K45" i="1" s="1"/>
  <c r="M39" i="1"/>
  <c r="M41" i="1" s="1"/>
  <c r="I39" i="1"/>
  <c r="I41" i="1" s="1"/>
  <c r="L39" i="1"/>
  <c r="L41" i="1" s="1"/>
  <c r="K39" i="1"/>
  <c r="K41" i="1" s="1"/>
  <c r="J39" i="1"/>
  <c r="J41" i="1" s="1"/>
  <c r="J35" i="1"/>
  <c r="J37" i="1" s="1"/>
  <c r="M35" i="1"/>
  <c r="M37" i="1" s="1"/>
  <c r="I35" i="1"/>
  <c r="I37" i="1" s="1"/>
  <c r="K35" i="1"/>
  <c r="K37" i="1" s="1"/>
  <c r="L35" i="1"/>
  <c r="L37" i="1" s="1"/>
  <c r="L27" i="1"/>
  <c r="L29" i="1" s="1"/>
  <c r="M27" i="1"/>
  <c r="M29" i="1" s="1"/>
  <c r="K27" i="1"/>
  <c r="K29" i="1" s="1"/>
  <c r="J27" i="1"/>
  <c r="J29" i="1" s="1"/>
  <c r="I27" i="1"/>
  <c r="I29" i="1" s="1"/>
  <c r="M23" i="1"/>
  <c r="M25" i="1" s="1"/>
  <c r="I23" i="1"/>
  <c r="I25" i="1" s="1"/>
  <c r="L23" i="1"/>
  <c r="L25" i="1" s="1"/>
  <c r="K23" i="1"/>
  <c r="K25" i="1" s="1"/>
  <c r="J23" i="1"/>
  <c r="J25" i="1" s="1"/>
  <c r="M45" i="3"/>
  <c r="I45" i="3"/>
  <c r="J45" i="3"/>
  <c r="K45" i="3"/>
  <c r="L45" i="3"/>
  <c r="N32" i="3"/>
  <c r="N28" i="3"/>
  <c r="N12" i="3"/>
  <c r="N16" i="3"/>
  <c r="N24" i="3"/>
  <c r="N44" i="3"/>
  <c r="N8" i="3"/>
  <c r="N20" i="3"/>
  <c r="N36" i="3"/>
  <c r="N40" i="3"/>
  <c r="F10" i="3"/>
  <c r="F8" i="3"/>
  <c r="F7" i="3"/>
  <c r="F9" i="3"/>
  <c r="F6" i="3"/>
  <c r="F11" i="3"/>
  <c r="N24" i="1"/>
  <c r="N20" i="1"/>
  <c r="N16" i="1"/>
  <c r="F9" i="1"/>
  <c r="N8" i="1"/>
  <c r="F3" i="1" s="1"/>
  <c r="N12" i="1"/>
  <c r="J1" i="1"/>
  <c r="K1" i="1" s="1"/>
  <c r="L1" i="1" s="1"/>
  <c r="M1" i="1" s="1"/>
  <c r="F13" i="3" l="1"/>
  <c r="F16" i="3" s="1"/>
  <c r="I45" i="1"/>
  <c r="N43" i="1"/>
  <c r="N45" i="1" s="1"/>
  <c r="E12" i="1" s="1"/>
  <c r="F12" i="1"/>
  <c r="F13" i="1"/>
  <c r="L37" i="3"/>
  <c r="M37" i="3"/>
  <c r="I37" i="3"/>
  <c r="K37" i="3"/>
  <c r="J37" i="3"/>
  <c r="J13" i="3"/>
  <c r="I13" i="3"/>
  <c r="K13" i="3"/>
  <c r="M13" i="3"/>
  <c r="L13" i="3"/>
  <c r="M5" i="3"/>
  <c r="J49" i="1"/>
  <c r="N47" i="1"/>
  <c r="E13" i="1" s="1"/>
  <c r="L11" i="1"/>
  <c r="L13" i="1" s="1"/>
  <c r="J11" i="1"/>
  <c r="J13" i="1" s="1"/>
  <c r="I11" i="1"/>
  <c r="I13" i="1" s="1"/>
  <c r="M11" i="1"/>
  <c r="M13" i="1" s="1"/>
  <c r="K11" i="1"/>
  <c r="K13" i="1" s="1"/>
  <c r="M7" i="1"/>
  <c r="M9" i="1" s="1"/>
  <c r="L9" i="1"/>
  <c r="K9" i="1"/>
  <c r="I9" i="1"/>
  <c r="J9" i="1"/>
  <c r="I17" i="1"/>
  <c r="L15" i="1"/>
  <c r="L17" i="1" s="1"/>
  <c r="M15" i="1"/>
  <c r="M17" i="1" s="1"/>
  <c r="K15" i="1"/>
  <c r="K17" i="1" s="1"/>
  <c r="J15" i="1"/>
  <c r="J17" i="1" s="1"/>
  <c r="F4" i="1"/>
  <c r="F8" i="1"/>
  <c r="F11" i="1"/>
  <c r="F5" i="1"/>
  <c r="F10" i="1"/>
  <c r="F2" i="1"/>
  <c r="F7" i="1"/>
  <c r="F6" i="1"/>
  <c r="N15" i="3"/>
  <c r="N17" i="3" s="1"/>
  <c r="E5" i="3" s="1"/>
  <c r="N43" i="3"/>
  <c r="N45" i="3" s="1"/>
  <c r="E12" i="3" s="1"/>
  <c r="N39" i="3"/>
  <c r="N41" i="3" s="1"/>
  <c r="E11" i="3" s="1"/>
  <c r="N31" i="3"/>
  <c r="N33" i="3" s="1"/>
  <c r="E9" i="3" s="1"/>
  <c r="N19" i="3"/>
  <c r="N21" i="3" s="1"/>
  <c r="E6" i="3" s="1"/>
  <c r="N23" i="3"/>
  <c r="N25" i="3" s="1"/>
  <c r="E7" i="3" s="1"/>
  <c r="D13" i="3"/>
  <c r="N27" i="3"/>
  <c r="N29" i="3" s="1"/>
  <c r="E8" i="3" s="1"/>
  <c r="N27" i="1"/>
  <c r="N29" i="1" s="1"/>
  <c r="E8" i="1" s="1"/>
  <c r="N39" i="1"/>
  <c r="N41" i="1" s="1"/>
  <c r="E11" i="1" s="1"/>
  <c r="N31" i="1"/>
  <c r="N33" i="1" s="1"/>
  <c r="E9" i="1" s="1"/>
  <c r="N35" i="1"/>
  <c r="N37" i="1" s="1"/>
  <c r="E10" i="1" s="1"/>
  <c r="C14" i="1"/>
  <c r="F14" i="1" l="1"/>
  <c r="F18" i="1" s="1"/>
  <c r="D14" i="1"/>
  <c r="N7" i="3"/>
  <c r="N9" i="3" s="1"/>
  <c r="E3" i="3" s="1"/>
  <c r="N35" i="3"/>
  <c r="N37" i="3" s="1"/>
  <c r="E10" i="3" s="1"/>
  <c r="N11" i="3"/>
  <c r="N13" i="3" s="1"/>
  <c r="E4" i="3" s="1"/>
  <c r="N19" i="1"/>
  <c r="N21" i="1" s="1"/>
  <c r="E6" i="1" s="1"/>
  <c r="N23" i="1"/>
  <c r="N25" i="1" s="1"/>
  <c r="E7" i="1" s="1"/>
  <c r="N15" i="1"/>
  <c r="N17" i="1" s="1"/>
  <c r="E5" i="1" s="1"/>
  <c r="N7" i="1"/>
  <c r="N9" i="1" s="1"/>
  <c r="E3" i="1" s="1"/>
  <c r="N11" i="1"/>
  <c r="N13" i="1" s="1"/>
  <c r="E4" i="1" s="1"/>
  <c r="E2" i="3" l="1"/>
  <c r="N3" i="1"/>
  <c r="N5" i="1" s="1"/>
  <c r="E13" i="3" l="1"/>
  <c r="E2" i="1"/>
  <c r="E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E21" authorId="0" shapeId="0" xr:uid="{7BF99FFC-0EDF-4C97-BB8C-C001E28E127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BenchMark </t>
        </r>
        <r>
          <rPr>
            <b/>
            <sz val="9"/>
            <color indexed="81"/>
            <rFont val="Tahoma"/>
            <family val="2"/>
          </rPr>
          <t>Nov 25</t>
        </r>
      </text>
    </comment>
    <comment ref="AF21" authorId="0" shapeId="0" xr:uid="{264BD0F5-58F4-4865-9091-1DCC52E990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BenchMark </t>
        </r>
        <r>
          <rPr>
            <b/>
            <sz val="9"/>
            <color indexed="81"/>
            <rFont val="Tahoma"/>
            <family val="2"/>
          </rPr>
          <t>Feb 25</t>
        </r>
      </text>
    </comment>
    <comment ref="AG21" authorId="0" shapeId="0" xr:uid="{3141901B-7019-4E6A-A57C-46C711917F7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BenchMark </t>
        </r>
        <r>
          <rPr>
            <b/>
            <sz val="9"/>
            <color indexed="81"/>
            <rFont val="Tahoma"/>
            <family val="2"/>
          </rPr>
          <t>Mar 25</t>
        </r>
      </text>
    </comment>
    <comment ref="AE35" authorId="0" shapeId="0" xr:uid="{85F1C1FB-317B-4C6F-BC21-B7FB96D4D3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BenchMark </t>
        </r>
        <r>
          <rPr>
            <b/>
            <sz val="9"/>
            <color indexed="81"/>
            <rFont val="Tahoma"/>
            <family val="2"/>
          </rPr>
          <t>Nov 25</t>
        </r>
      </text>
    </comment>
    <comment ref="AF35" authorId="0" shapeId="0" xr:uid="{5151CC7B-23D7-4E63-B079-F6D9224AA04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BenchMark </t>
        </r>
        <r>
          <rPr>
            <b/>
            <sz val="9"/>
            <color indexed="81"/>
            <rFont val="Tahoma"/>
            <family val="2"/>
          </rPr>
          <t>Feb 25</t>
        </r>
      </text>
    </comment>
    <comment ref="AG35" authorId="0" shapeId="0" xr:uid="{4589C9DD-69BD-43C3-83E6-95242C286F0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BenchMark </t>
        </r>
        <r>
          <rPr>
            <b/>
            <sz val="9"/>
            <color indexed="81"/>
            <rFont val="Tahoma"/>
            <family val="2"/>
          </rPr>
          <t>Mar 25</t>
        </r>
      </text>
    </comment>
    <comment ref="AE36" authorId="0" shapeId="0" xr:uid="{25F12176-AA15-4883-9FE9-386DEE507D8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BenchMark </t>
        </r>
        <r>
          <rPr>
            <b/>
            <sz val="9"/>
            <color indexed="81"/>
            <rFont val="Tahoma"/>
            <family val="2"/>
          </rPr>
          <t>Nov 25</t>
        </r>
      </text>
    </comment>
    <comment ref="AF36" authorId="0" shapeId="0" xr:uid="{9CBC42D2-0CDA-4F17-89FD-1A39558FD70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BenchMark </t>
        </r>
        <r>
          <rPr>
            <b/>
            <sz val="9"/>
            <color indexed="81"/>
            <rFont val="Tahoma"/>
            <family val="2"/>
          </rPr>
          <t>Feb 25</t>
        </r>
      </text>
    </comment>
    <comment ref="AG36" authorId="0" shapeId="0" xr:uid="{A0426FCD-55C7-4482-9F88-07256D72FF4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BenchMark </t>
        </r>
        <r>
          <rPr>
            <b/>
            <sz val="9"/>
            <color indexed="81"/>
            <rFont val="Tahoma"/>
            <family val="2"/>
          </rPr>
          <t>Mar 25</t>
        </r>
      </text>
    </comment>
  </commentList>
</comments>
</file>

<file path=xl/sharedStrings.xml><?xml version="1.0" encoding="utf-8"?>
<sst xmlns="http://schemas.openxmlformats.org/spreadsheetml/2006/main" count="732" uniqueCount="156">
  <si>
    <t>FLEXO</t>
  </si>
  <si>
    <t>STAFF</t>
  </si>
  <si>
    <t>SEALING</t>
  </si>
  <si>
    <t>PER DAY</t>
  </si>
  <si>
    <t>AMOUNT</t>
  </si>
  <si>
    <t>WEEKLY PRO</t>
  </si>
  <si>
    <t>FLEXO WEEKLY PRO</t>
  </si>
  <si>
    <t>WEEKS</t>
  </si>
  <si>
    <t>TOTAL</t>
  </si>
  <si>
    <t>ADMIN</t>
  </si>
  <si>
    <t>WELFARE+ALLOWANCES+BONUS</t>
  </si>
  <si>
    <t>WELFARE+ALLO+BO</t>
  </si>
  <si>
    <t>WEEKLY /KG</t>
  </si>
  <si>
    <t>WEEKLY STAFF/KG</t>
  </si>
  <si>
    <t>WEEKLY LABOUR/KG</t>
  </si>
  <si>
    <t>FREIGHT</t>
  </si>
  <si>
    <t>RM GENERAL</t>
  </si>
  <si>
    <t>REPAIR &amp; MAINTANANCE</t>
  </si>
  <si>
    <t>PACKING MATERIAL</t>
  </si>
  <si>
    <t>OTHERS</t>
  </si>
  <si>
    <t>STORE &amp; SPARES</t>
  </si>
  <si>
    <t>REPAIR &amp; MAINT</t>
  </si>
  <si>
    <t>PACKING</t>
  </si>
  <si>
    <t>INK &amp; CHEMICAL</t>
  </si>
  <si>
    <t>PER KG</t>
  </si>
  <si>
    <t>TUBE</t>
  </si>
  <si>
    <t>STAFF+STORES</t>
  </si>
  <si>
    <t>WELFARE+ALLOWANCES</t>
  </si>
  <si>
    <t>CORE</t>
  </si>
  <si>
    <t>PRODUCTION</t>
  </si>
  <si>
    <t>ELEC</t>
  </si>
  <si>
    <t>WASTE</t>
  </si>
  <si>
    <t>INK</t>
  </si>
  <si>
    <t>CONVERSION</t>
  </si>
  <si>
    <t>PRO</t>
  </si>
  <si>
    <t>LABOUR</t>
  </si>
  <si>
    <t>ink</t>
  </si>
  <si>
    <t>Tikki Waste Loss</t>
  </si>
  <si>
    <t>VERIFY</t>
  </si>
  <si>
    <t>FINAL COSTING JAN 2025</t>
  </si>
  <si>
    <t>PT</t>
  </si>
  <si>
    <t>HD</t>
  </si>
  <si>
    <t>UNIT</t>
  </si>
  <si>
    <t>PP</t>
  </si>
  <si>
    <t>LD</t>
  </si>
  <si>
    <t>TOTAL CONVERSION</t>
  </si>
  <si>
    <t>Bag Conversion With Extrusion</t>
  </si>
  <si>
    <t>Shoper Conversion With Extrusion</t>
  </si>
  <si>
    <t>FINAL COSTING FEB 2025</t>
  </si>
  <si>
    <t>PRODUCTION TOTAL</t>
  </si>
  <si>
    <t>Core</t>
  </si>
  <si>
    <t>SALARY FLEXO</t>
  </si>
  <si>
    <t>SALARY SEALING</t>
  </si>
  <si>
    <t>SALARY STAFF</t>
  </si>
  <si>
    <t>SALARY TUBE</t>
  </si>
  <si>
    <t>PARTICULARS</t>
  </si>
  <si>
    <t>FINAL COSTING MAR 2025</t>
  </si>
  <si>
    <t>SAP Diff</t>
  </si>
  <si>
    <t>Sap Diff</t>
  </si>
  <si>
    <t>SL</t>
  </si>
  <si>
    <t>MILKY</t>
  </si>
  <si>
    <t>RATE</t>
  </si>
  <si>
    <t>HDM</t>
  </si>
  <si>
    <t>HDN</t>
  </si>
  <si>
    <t>AA</t>
  </si>
  <si>
    <t>SUPER JILANI</t>
  </si>
  <si>
    <t>Total</t>
  </si>
  <si>
    <t>FINAL COSTING APRIL 2025</t>
  </si>
  <si>
    <t>(PP) DEPARTMENT COST 2025</t>
  </si>
  <si>
    <t>(PT-01 &amp; 03) DEPARTMENT COST 2025</t>
  </si>
  <si>
    <t>FINAL COSTING JUNE 2025</t>
  </si>
  <si>
    <t>weight</t>
  </si>
  <si>
    <t>Amount</t>
  </si>
  <si>
    <t>Rate</t>
  </si>
  <si>
    <t>72to42sap</t>
  </si>
  <si>
    <t>47to42sap</t>
  </si>
  <si>
    <t>FINAL COSTING JULY 2025</t>
  </si>
  <si>
    <t>color waste</t>
  </si>
  <si>
    <t>FINAL COSTING Aug 2025</t>
  </si>
  <si>
    <t>FINAL COSTING Sep 2025</t>
  </si>
  <si>
    <t>NATURAL</t>
  </si>
  <si>
    <t>PARASHOT</t>
  </si>
  <si>
    <t>PT CLR</t>
  </si>
  <si>
    <t>DHELA</t>
  </si>
  <si>
    <t>21 expense store</t>
  </si>
  <si>
    <t>FINAL COSTING MAy 2025</t>
  </si>
  <si>
    <t>FINAL COSTING Oct 2025</t>
  </si>
  <si>
    <t>Planned Stoppages</t>
  </si>
  <si>
    <t>Planned Stoppages %</t>
  </si>
  <si>
    <t>UNPlanned Stoppages</t>
  </si>
  <si>
    <t>UNPlanned Stoppages %</t>
  </si>
  <si>
    <t>WASTE %</t>
  </si>
  <si>
    <t>FINAL COSTING NOV 2025</t>
  </si>
  <si>
    <t>ELEC / Kg</t>
  </si>
  <si>
    <t>WASTE / Kg</t>
  </si>
  <si>
    <t>INK / Kg</t>
  </si>
  <si>
    <t xml:space="preserve">  </t>
  </si>
  <si>
    <t>Bag Conversion WithOUT INK COST</t>
  </si>
  <si>
    <t>FINAL COSTING Dec 2025</t>
  </si>
  <si>
    <t>FINAL COSTING January 2025</t>
  </si>
  <si>
    <t xml:space="preserve">    </t>
  </si>
  <si>
    <t>KPI</t>
  </si>
  <si>
    <t>Planned Stoppage Hours</t>
  </si>
  <si>
    <t>Planned Stoppage % (Target 27%)</t>
  </si>
  <si>
    <t>Unplanned Stoppage Hours</t>
  </si>
  <si>
    <t>Unplanned Stoppage % (Target 5%)</t>
  </si>
  <si>
    <t>Idle Hours</t>
  </si>
  <si>
    <t>No of Jobs</t>
  </si>
  <si>
    <t>Jobs / Ton</t>
  </si>
  <si>
    <t>Actual Production KGs</t>
  </si>
  <si>
    <t>Target Production KGs</t>
  </si>
  <si>
    <t>Production Achievement % (Target 95%)</t>
  </si>
  <si>
    <t>Wastage KGs</t>
  </si>
  <si>
    <t>Wastage % (Target 3.5%)</t>
  </si>
  <si>
    <t>Waste Value PKR</t>
  </si>
  <si>
    <t>Waste Rs./Kg</t>
  </si>
  <si>
    <t>Total KWH</t>
  </si>
  <si>
    <t>KWH Value @44</t>
  </si>
  <si>
    <t>KW Rs./Kg</t>
  </si>
  <si>
    <t xml:space="preserve">FLEXO Labour </t>
  </si>
  <si>
    <t>SEALING Labour</t>
  </si>
  <si>
    <t>Staff + Store Salaries</t>
  </si>
  <si>
    <t>Total Labour</t>
  </si>
  <si>
    <t>STORE &amp; SPARES (Target 2 Rs/kg)</t>
  </si>
  <si>
    <t>MISC. PACKING</t>
  </si>
  <si>
    <t>Chemical</t>
  </si>
  <si>
    <t>Ink +Chemical</t>
  </si>
  <si>
    <t>Bag Conversion Without Ink Cost</t>
  </si>
  <si>
    <t>Bag Conversion With Extrusion with Ink</t>
  </si>
  <si>
    <t>Shoper Conversion Without Extrusion</t>
  </si>
  <si>
    <t>Shopper Conversion with Extrusion with Ink</t>
  </si>
  <si>
    <t>Bag</t>
  </si>
  <si>
    <t>Sum</t>
  </si>
  <si>
    <t>Avg Receipe</t>
  </si>
  <si>
    <t>Extrusion Charges</t>
  </si>
  <si>
    <t>Waste Sale Rate</t>
  </si>
  <si>
    <t>Waste Loss per Kg (Bag)</t>
  </si>
  <si>
    <t>Shopper</t>
  </si>
  <si>
    <t>Waste Loss per Kg (Shopper)</t>
  </si>
  <si>
    <t>Jan Target</t>
  </si>
  <si>
    <t>(PP) DEPARTMENT COST 2025-26</t>
  </si>
  <si>
    <t>Sealing Side</t>
  </si>
  <si>
    <t>Sealong Bottom</t>
  </si>
  <si>
    <t>Sealing Labour (Bottom)</t>
  </si>
  <si>
    <t>Sealing Labour (Side Seal)</t>
  </si>
  <si>
    <t>Electricity (Bottom)</t>
  </si>
  <si>
    <t>Electricity (Side Seal)</t>
  </si>
  <si>
    <t>Waste Loss (Bottom)</t>
  </si>
  <si>
    <t>Waste Loss (Side Seal)</t>
  </si>
  <si>
    <t>Packing</t>
  </si>
  <si>
    <t>Sealing Lafafa (Bottom)</t>
  </si>
  <si>
    <t>Sealing Lafafa (Side Seal)</t>
  </si>
  <si>
    <t>(PT-01 &amp; 03) DEPARTMENT COST 2025-26</t>
  </si>
  <si>
    <t xml:space="preserve">Core </t>
  </si>
  <si>
    <t>Feb Target</t>
  </si>
  <si>
    <t>PRINTING DEPARTMENT COST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</si>
</sst>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WEEK&quot;&quot; &quot;&quot;#&quot;&quot; &quot;0"/>
    <numFmt numFmtId="165" formatCode="0.0"/>
    <numFmt numFmtId="166" formatCode="&quot;With Extrusion Charges @&quot;\ 0.00"/>
    <numFmt numFmtId="167" formatCode="0.00&quot;/KG&quot;"/>
    <numFmt numFmtId="168" formatCode="0.000"/>
    <numFmt numFmtId="169" formatCode="_(* #,##0_);_(* \(#,##0\);_(* &quot;-&quot;??_);_(@_)"/>
    <numFmt numFmtId="170" formatCode="0.0%"/>
    <numFmt numFmtId="171" formatCode="_(* #,##0.0_);_(* \(#,##0.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78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3" borderId="0" xfId="0" applyFont="1" applyFill="1"/>
    <xf numFmtId="164" fontId="1" fillId="3" borderId="0" xfId="0" applyNumberFormat="1" applyFont="1" applyFill="1"/>
    <xf numFmtId="0" fontId="1" fillId="3" borderId="0" xfId="0" applyFont="1" applyFill="1" applyAlignment="1">
      <alignment horizontal="left"/>
    </xf>
    <xf numFmtId="2" fontId="1" fillId="3" borderId="0" xfId="0" applyNumberFormat="1" applyFont="1" applyFill="1"/>
    <xf numFmtId="1" fontId="0" fillId="3" borderId="0" xfId="0" applyNumberFormat="1" applyFill="1"/>
    <xf numFmtId="1" fontId="1" fillId="3" borderId="0" xfId="0" applyNumberFormat="1" applyFont="1" applyFill="1"/>
    <xf numFmtId="2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2" fontId="1" fillId="0" borderId="0" xfId="0" applyNumberFormat="1" applyFont="1"/>
    <xf numFmtId="0" fontId="1" fillId="0" borderId="5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2" fontId="0" fillId="0" borderId="1" xfId="0" applyNumberFormat="1" applyBorder="1"/>
    <xf numFmtId="2" fontId="1" fillId="0" borderId="1" xfId="0" applyNumberFormat="1" applyFont="1" applyBorder="1"/>
    <xf numFmtId="0" fontId="1" fillId="3" borderId="6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/>
    <xf numFmtId="0" fontId="1" fillId="2" borderId="9" xfId="0" applyFont="1" applyFill="1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2" fillId="2" borderId="11" xfId="0" applyFont="1" applyFill="1" applyBorder="1"/>
    <xf numFmtId="0" fontId="3" fillId="2" borderId="12" xfId="0" applyFont="1" applyFill="1" applyBorder="1"/>
    <xf numFmtId="2" fontId="2" fillId="2" borderId="12" xfId="0" applyNumberFormat="1" applyFont="1" applyFill="1" applyBorder="1"/>
    <xf numFmtId="0" fontId="1" fillId="3" borderId="9" xfId="0" applyFont="1" applyFill="1" applyBorder="1"/>
    <xf numFmtId="0" fontId="1" fillId="2" borderId="9" xfId="0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165" fontId="0" fillId="0" borderId="0" xfId="0" applyNumberFormat="1"/>
    <xf numFmtId="0" fontId="1" fillId="4" borderId="0" xfId="0" applyFont="1" applyFill="1" applyAlignment="1">
      <alignment horizontal="left"/>
    </xf>
    <xf numFmtId="0" fontId="1" fillId="7" borderId="0" xfId="0" applyFont="1" applyFill="1" applyAlignment="1">
      <alignment horizontal="center"/>
    </xf>
    <xf numFmtId="2" fontId="0" fillId="0" borderId="7" xfId="0" applyNumberForma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7" fontId="1" fillId="3" borderId="0" xfId="0" applyNumberFormat="1" applyFont="1" applyFill="1" applyAlignment="1">
      <alignment horizontal="center" vertical="center"/>
    </xf>
    <xf numFmtId="2" fontId="1" fillId="5" borderId="7" xfId="0" applyNumberFormat="1" applyFont="1" applyFill="1" applyBorder="1"/>
    <xf numFmtId="166" fontId="2" fillId="2" borderId="14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3" borderId="0" xfId="0" applyFont="1" applyFill="1" applyAlignment="1">
      <alignment horizontal="center"/>
    </xf>
    <xf numFmtId="0" fontId="1" fillId="3" borderId="19" xfId="0" applyFont="1" applyFill="1" applyBorder="1" applyAlignment="1">
      <alignment horizontal="left"/>
    </xf>
    <xf numFmtId="2" fontId="0" fillId="0" borderId="20" xfId="0" applyNumberFormat="1" applyBorder="1"/>
    <xf numFmtId="17" fontId="1" fillId="3" borderId="14" xfId="0" applyNumberFormat="1" applyFon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2" borderId="20" xfId="0" applyFill="1" applyBorder="1"/>
    <xf numFmtId="0" fontId="0" fillId="0" borderId="20" xfId="0" applyBorder="1"/>
    <xf numFmtId="0" fontId="0" fillId="0" borderId="23" xfId="0" applyBorder="1"/>
    <xf numFmtId="0" fontId="1" fillId="3" borderId="14" xfId="0" applyFont="1" applyFill="1" applyBorder="1" applyAlignment="1">
      <alignment horizontal="left"/>
    </xf>
    <xf numFmtId="0" fontId="1" fillId="3" borderId="14" xfId="0" applyFont="1" applyFill="1" applyBorder="1"/>
    <xf numFmtId="0" fontId="1" fillId="5" borderId="17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10" fontId="1" fillId="0" borderId="0" xfId="1" applyNumberFormat="1" applyFont="1"/>
    <xf numFmtId="1" fontId="0" fillId="0" borderId="0" xfId="0" applyNumberFormat="1"/>
    <xf numFmtId="10" fontId="0" fillId="0" borderId="0" xfId="1" applyNumberFormat="1" applyFont="1"/>
    <xf numFmtId="1" fontId="1" fillId="0" borderId="0" xfId="0" applyNumberFormat="1" applyFont="1"/>
    <xf numFmtId="167" fontId="0" fillId="0" borderId="0" xfId="0" applyNumberFormat="1"/>
    <xf numFmtId="43" fontId="1" fillId="3" borderId="0" xfId="2" applyFont="1" applyFill="1"/>
    <xf numFmtId="43" fontId="0" fillId="4" borderId="0" xfId="2" applyFont="1" applyFill="1"/>
    <xf numFmtId="43" fontId="1" fillId="0" borderId="0" xfId="2" applyFont="1"/>
    <xf numFmtId="43" fontId="0" fillId="0" borderId="0" xfId="2" applyFont="1"/>
    <xf numFmtId="0" fontId="6" fillId="0" borderId="0" xfId="0" applyFont="1"/>
    <xf numFmtId="3" fontId="0" fillId="0" borderId="0" xfId="0" applyNumberFormat="1" applyAlignment="1">
      <alignment wrapText="1"/>
    </xf>
    <xf numFmtId="2" fontId="6" fillId="0" borderId="0" xfId="0" applyNumberFormat="1" applyFont="1" applyAlignment="1">
      <alignment horizontal="left"/>
    </xf>
    <xf numFmtId="168" fontId="1" fillId="3" borderId="0" xfId="0" applyNumberFormat="1" applyFont="1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7" fontId="1" fillId="3" borderId="1" xfId="0" applyNumberFormat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25" xfId="0" applyBorder="1"/>
    <xf numFmtId="43" fontId="0" fillId="0" borderId="0" xfId="2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3" fontId="1" fillId="0" borderId="0" xfId="2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2" borderId="15" xfId="0" applyFont="1" applyFill="1" applyBorder="1"/>
    <xf numFmtId="0" fontId="2" fillId="2" borderId="16" xfId="0" applyFont="1" applyFill="1" applyBorder="1"/>
    <xf numFmtId="2" fontId="2" fillId="2" borderId="14" xfId="0" applyNumberFormat="1" applyFont="1" applyFill="1" applyBorder="1"/>
    <xf numFmtId="2" fontId="1" fillId="6" borderId="14" xfId="0" applyNumberFormat="1" applyFont="1" applyFill="1" applyBorder="1"/>
    <xf numFmtId="0" fontId="2" fillId="2" borderId="14" xfId="0" applyFont="1" applyFill="1" applyBorder="1"/>
    <xf numFmtId="17" fontId="1" fillId="3" borderId="21" xfId="0" applyNumberFormat="1" applyFont="1" applyFill="1" applyBorder="1" applyAlignment="1">
      <alignment horizontal="center"/>
    </xf>
    <xf numFmtId="0" fontId="1" fillId="3" borderId="22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left"/>
    </xf>
    <xf numFmtId="17" fontId="1" fillId="3" borderId="5" xfId="0" applyNumberFormat="1" applyFont="1" applyFill="1" applyBorder="1" applyAlignment="1">
      <alignment horizontal="center"/>
    </xf>
    <xf numFmtId="2" fontId="0" fillId="0" borderId="10" xfId="0" applyNumberFormat="1" applyBorder="1"/>
    <xf numFmtId="2" fontId="1" fillId="2" borderId="10" xfId="0" applyNumberFormat="1" applyFont="1" applyFill="1" applyBorder="1"/>
    <xf numFmtId="2" fontId="2" fillId="2" borderId="13" xfId="0" applyNumberFormat="1" applyFont="1" applyFill="1" applyBorder="1"/>
    <xf numFmtId="0" fontId="1" fillId="3" borderId="5" xfId="0" applyFont="1" applyFill="1" applyBorder="1" applyAlignment="1">
      <alignment horizontal="left"/>
    </xf>
    <xf numFmtId="10" fontId="1" fillId="8" borderId="1" xfId="1" applyNumberFormat="1" applyFont="1" applyFill="1" applyBorder="1" applyAlignment="1">
      <alignment horizontal="right"/>
    </xf>
    <xf numFmtId="10" fontId="1" fillId="8" borderId="10" xfId="1" applyNumberFormat="1" applyFont="1" applyFill="1" applyBorder="1" applyAlignment="1">
      <alignment horizontal="right"/>
    </xf>
    <xf numFmtId="169" fontId="1" fillId="5" borderId="20" xfId="2" applyNumberFormat="1" applyFont="1" applyFill="1" applyBorder="1"/>
    <xf numFmtId="169" fontId="1" fillId="5" borderId="23" xfId="2" applyNumberFormat="1" applyFont="1" applyFill="1" applyBorder="1"/>
    <xf numFmtId="169" fontId="0" fillId="0" borderId="1" xfId="2" applyNumberFormat="1" applyFont="1" applyBorder="1"/>
    <xf numFmtId="169" fontId="0" fillId="0" borderId="10" xfId="2" applyNumberFormat="1" applyFont="1" applyBorder="1"/>
    <xf numFmtId="169" fontId="1" fillId="5" borderId="14" xfId="2" applyNumberFormat="1" applyFont="1" applyFill="1" applyBorder="1"/>
    <xf numFmtId="2" fontId="0" fillId="0" borderId="23" xfId="0" applyNumberFormat="1" applyBorder="1"/>
    <xf numFmtId="0" fontId="1" fillId="3" borderId="11" xfId="0" applyFont="1" applyFill="1" applyBorder="1"/>
    <xf numFmtId="2" fontId="0" fillId="0" borderId="12" xfId="0" applyNumberFormat="1" applyBorder="1"/>
    <xf numFmtId="0" fontId="2" fillId="2" borderId="26" xfId="0" applyFont="1" applyFill="1" applyBorder="1"/>
    <xf numFmtId="2" fontId="2" fillId="2" borderId="27" xfId="0" applyNumberFormat="1" applyFont="1" applyFill="1" applyBorder="1"/>
    <xf numFmtId="2" fontId="2" fillId="2" borderId="28" xfId="0" applyNumberFormat="1" applyFont="1" applyFill="1" applyBorder="1"/>
    <xf numFmtId="2" fontId="2" fillId="2" borderId="24" xfId="0" applyNumberFormat="1" applyFont="1" applyFill="1" applyBorder="1"/>
    <xf numFmtId="4" fontId="0" fillId="2" borderId="1" xfId="0" applyNumberFormat="1" applyFill="1" applyBorder="1"/>
    <xf numFmtId="4" fontId="0" fillId="2" borderId="20" xfId="0" applyNumberFormat="1" applyFill="1" applyBorder="1"/>
    <xf numFmtId="4" fontId="1" fillId="2" borderId="1" xfId="0" applyNumberFormat="1" applyFont="1" applyFill="1" applyBorder="1"/>
    <xf numFmtId="0" fontId="7" fillId="9" borderId="1" xfId="0" applyFont="1" applyFill="1" applyBorder="1" applyAlignment="1">
      <alignment horizontal="center" vertical="center"/>
    </xf>
    <xf numFmtId="17" fontId="7" fillId="9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169" fontId="0" fillId="0" borderId="1" xfId="2" applyNumberFormat="1" applyFont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1" fontId="0" fillId="0" borderId="1" xfId="2" applyNumberFormat="1" applyFont="1" applyBorder="1" applyAlignment="1">
      <alignment horizontal="center" vertical="center"/>
    </xf>
    <xf numFmtId="0" fontId="1" fillId="0" borderId="9" xfId="0" applyFont="1" applyBorder="1"/>
    <xf numFmtId="0" fontId="1" fillId="11" borderId="19" xfId="0" applyFont="1" applyFill="1" applyBorder="1" applyAlignment="1">
      <alignment horizontal="left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11" borderId="9" xfId="0" applyFont="1" applyFill="1" applyBorder="1" applyAlignment="1">
      <alignment horizontal="left"/>
    </xf>
    <xf numFmtId="0" fontId="1" fillId="10" borderId="9" xfId="0" applyFont="1" applyFill="1" applyBorder="1" applyAlignment="1">
      <alignment horizontal="left"/>
    </xf>
    <xf numFmtId="2" fontId="0" fillId="2" borderId="1" xfId="0" applyNumberFormat="1" applyFill="1" applyBorder="1" applyAlignment="1">
      <alignment horizontal="center" vertical="center"/>
    </xf>
    <xf numFmtId="0" fontId="1" fillId="3" borderId="29" xfId="0" applyFont="1" applyFill="1" applyBorder="1"/>
    <xf numFmtId="166" fontId="2" fillId="2" borderId="5" xfId="0" applyNumberFormat="1" applyFont="1" applyFill="1" applyBorder="1" applyAlignment="1">
      <alignment horizontal="center"/>
    </xf>
    <xf numFmtId="165" fontId="0" fillId="0" borderId="30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43" fontId="0" fillId="0" borderId="0" xfId="0" applyNumberFormat="1"/>
    <xf numFmtId="169" fontId="0" fillId="0" borderId="0" xfId="2" applyNumberFormat="1" applyFont="1"/>
    <xf numFmtId="169" fontId="1" fillId="0" borderId="0" xfId="2" applyNumberFormat="1" applyFont="1"/>
    <xf numFmtId="169" fontId="0" fillId="0" borderId="0" xfId="0" applyNumberFormat="1"/>
    <xf numFmtId="1" fontId="6" fillId="0" borderId="0" xfId="0" applyNumberFormat="1" applyFont="1"/>
    <xf numFmtId="0" fontId="1" fillId="5" borderId="1" xfId="0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2" fontId="1" fillId="12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2" fontId="1" fillId="1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7" fontId="1" fillId="3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2" fontId="10" fillId="12" borderId="1" xfId="0" applyNumberFormat="1" applyFont="1" applyFill="1" applyBorder="1" applyAlignment="1">
      <alignment horizontal="center"/>
    </xf>
    <xf numFmtId="10" fontId="1" fillId="8" borderId="1" xfId="1" applyNumberFormat="1" applyFont="1" applyFill="1" applyBorder="1" applyAlignment="1">
      <alignment horizontal="center"/>
    </xf>
    <xf numFmtId="169" fontId="0" fillId="0" borderId="1" xfId="2" applyNumberFormat="1" applyFont="1" applyBorder="1" applyAlignment="1">
      <alignment horizontal="center"/>
    </xf>
    <xf numFmtId="43" fontId="11" fillId="4" borderId="0" xfId="2" applyFont="1" applyFill="1"/>
    <xf numFmtId="169" fontId="11" fillId="0" borderId="0" xfId="2" applyNumberFormat="1" applyFont="1"/>
    <xf numFmtId="43" fontId="11" fillId="0" borderId="0" xfId="2" applyFont="1" applyAlignment="1">
      <alignment horizontal="center" vertical="center"/>
    </xf>
    <xf numFmtId="43" fontId="12" fillId="4" borderId="0" xfId="2" applyFont="1" applyFill="1"/>
    <xf numFmtId="43" fontId="12" fillId="0" borderId="0" xfId="2" applyFont="1" applyAlignment="1">
      <alignment horizontal="center" vertical="center"/>
    </xf>
    <xf numFmtId="43" fontId="12" fillId="0" borderId="0" xfId="2" applyFont="1" applyFill="1" applyAlignment="1">
      <alignment horizontal="center" vertical="center"/>
    </xf>
    <xf numFmtId="169" fontId="12" fillId="0" borderId="0" xfId="2" applyNumberFormat="1" applyFont="1" applyFill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14E2-3926-4C20-8DC4-25909E9D54DF}">
  <dimension ref="A1:U49"/>
  <sheetViews>
    <sheetView zoomScaleNormal="100" workbookViewId="0">
      <selection activeCell="N4" sqref="N4"/>
    </sheetView>
  </sheetViews>
  <sheetFormatPr defaultRowHeight="15" x14ac:dyDescent="0.25"/>
  <cols>
    <col min="1" max="1" width="17" customWidth="1"/>
    <col min="2" max="2" width="30.5703125" bestFit="1" customWidth="1"/>
    <col min="3" max="3" width="14.140625" style="61" bestFit="1" customWidth="1"/>
    <col min="5" max="5" width="10.5703125" bestFit="1" customWidth="1"/>
    <col min="8" max="8" width="19.5703125" bestFit="1" customWidth="1"/>
    <col min="9" max="13" width="10" bestFit="1" customWidth="1"/>
    <col min="14" max="14" width="9.140625" style="2"/>
    <col min="16" max="16" width="17.85546875" bestFit="1" customWidth="1"/>
  </cols>
  <sheetData>
    <row r="1" spans="1:21" x14ac:dyDescent="0.25">
      <c r="B1" s="41" t="s">
        <v>55</v>
      </c>
      <c r="C1" s="58" t="s">
        <v>4</v>
      </c>
      <c r="D1" s="3" t="s">
        <v>3</v>
      </c>
      <c r="E1" s="3" t="s">
        <v>24</v>
      </c>
      <c r="F1" s="3" t="s">
        <v>38</v>
      </c>
      <c r="H1" s="3" t="s">
        <v>7</v>
      </c>
      <c r="I1" s="4">
        <v>10</v>
      </c>
      <c r="J1" s="4">
        <f>+I1+1</f>
        <v>11</v>
      </c>
      <c r="K1" s="4">
        <f t="shared" ref="K1:M1" si="0">+J1+1</f>
        <v>12</v>
      </c>
      <c r="L1" s="4">
        <f t="shared" si="0"/>
        <v>13</v>
      </c>
      <c r="M1" s="4">
        <f t="shared" si="0"/>
        <v>14</v>
      </c>
      <c r="N1" s="3" t="s">
        <v>8</v>
      </c>
      <c r="O1" s="32">
        <f>SUM(P1:U1)</f>
        <v>31</v>
      </c>
      <c r="P1">
        <v>5</v>
      </c>
      <c r="Q1">
        <v>7</v>
      </c>
      <c r="R1">
        <v>7</v>
      </c>
      <c r="S1">
        <v>7</v>
      </c>
      <c r="T1">
        <v>5</v>
      </c>
      <c r="U1">
        <v>0</v>
      </c>
    </row>
    <row r="2" spans="1:21" x14ac:dyDescent="0.25">
      <c r="A2" s="62"/>
      <c r="B2" s="5" t="s">
        <v>51</v>
      </c>
      <c r="C2" s="161">
        <f>(1275500)+333477</f>
        <v>1608977</v>
      </c>
      <c r="D2">
        <f>+C2/$O$1</f>
        <v>51902.483870967742</v>
      </c>
      <c r="E2" s="1">
        <f>+N5</f>
        <v>8.0432538683317727</v>
      </c>
      <c r="F2" s="1">
        <f>+C2/$N$4</f>
        <v>8.0432538683317727</v>
      </c>
    </row>
    <row r="3" spans="1:21" x14ac:dyDescent="0.25">
      <c r="B3" s="5" t="s">
        <v>52</v>
      </c>
      <c r="C3" s="161">
        <f>(269000+1232100)+216125</f>
        <v>1717225</v>
      </c>
      <c r="D3">
        <f>+C3/$O$1</f>
        <v>55394.354838709674</v>
      </c>
      <c r="E3" s="1">
        <f>+N9</f>
        <v>10.453366471296912</v>
      </c>
      <c r="F3" s="1">
        <f>+C3/$N$8</f>
        <v>10.453366471296912</v>
      </c>
      <c r="H3" s="3" t="s">
        <v>0</v>
      </c>
      <c r="I3" s="7">
        <f>+$D$2*$P$1</f>
        <v>259512.41935483873</v>
      </c>
      <c r="J3" s="7">
        <f>+$D$2*$Q$1</f>
        <v>363317.38709677418</v>
      </c>
      <c r="K3" s="7">
        <f>+$D$2*$R$1</f>
        <v>363317.38709677418</v>
      </c>
      <c r="L3" s="7">
        <f>+$D$2*$S$1</f>
        <v>363317.38709677418</v>
      </c>
      <c r="M3" s="7">
        <f>+$D$2*$T$1</f>
        <v>259512.41935483873</v>
      </c>
      <c r="N3" s="3">
        <f>SUM(I3:M3)</f>
        <v>1608977</v>
      </c>
      <c r="P3" s="1"/>
    </row>
    <row r="4" spans="1:21" x14ac:dyDescent="0.25">
      <c r="B4" s="10" t="s">
        <v>53</v>
      </c>
      <c r="C4" s="161">
        <f>(1510000)+127725</f>
        <v>1637725</v>
      </c>
      <c r="D4">
        <f t="shared" ref="D4:D13" si="1">+C4/$O$1</f>
        <v>52829.838709677417</v>
      </c>
      <c r="E4" s="1">
        <f>+N13</f>
        <v>8.1869647244886981</v>
      </c>
      <c r="F4" s="1">
        <f t="shared" ref="F4:F12" si="2">+C4/$N$4</f>
        <v>8.1869647244886981</v>
      </c>
      <c r="H4" s="3" t="s">
        <v>5</v>
      </c>
      <c r="I4">
        <v>20382.68</v>
      </c>
      <c r="J4">
        <v>40924.35</v>
      </c>
      <c r="K4">
        <v>58491.939999999973</v>
      </c>
      <c r="L4">
        <v>48728.439999999995</v>
      </c>
      <c r="M4">
        <v>31513.148999999994</v>
      </c>
      <c r="N4" s="3">
        <f>SUM(I4:M4)</f>
        <v>200040.55899999998</v>
      </c>
      <c r="P4" s="1"/>
    </row>
    <row r="5" spans="1:21" x14ac:dyDescent="0.25">
      <c r="B5" s="10" t="s">
        <v>10</v>
      </c>
      <c r="C5" s="59">
        <f>37100+7741+4500+7509+18813+2000+199125</f>
        <v>276788</v>
      </c>
      <c r="D5">
        <f t="shared" si="1"/>
        <v>8928.645161290322</v>
      </c>
      <c r="E5" s="1">
        <f>+N17</f>
        <v>1.3836594007918166</v>
      </c>
      <c r="F5" s="1">
        <f t="shared" si="2"/>
        <v>1.3836594007918166</v>
      </c>
      <c r="H5" s="3" t="s">
        <v>14</v>
      </c>
      <c r="I5" s="1">
        <f>IFERROR((I3/I4),"--")</f>
        <v>12.732006750576407</v>
      </c>
      <c r="J5" s="1">
        <f>IFERROR((J3/J4),"--")</f>
        <v>8.8777802725461541</v>
      </c>
      <c r="K5" s="1">
        <f>IFERROR((K3/K4),"--")</f>
        <v>6.2114094197726102</v>
      </c>
      <c r="L5" s="1">
        <f>IFERROR((L3/L4),"--")</f>
        <v>7.4559617976026775</v>
      </c>
      <c r="M5" s="1">
        <f>IFERROR((M3/M4),"--")</f>
        <v>8.2350519573540168</v>
      </c>
      <c r="N5" s="6">
        <f>+N3/N4</f>
        <v>8.0432538683317727</v>
      </c>
    </row>
    <row r="6" spans="1:21" x14ac:dyDescent="0.25">
      <c r="A6" s="138"/>
      <c r="B6" s="10" t="s">
        <v>9</v>
      </c>
      <c r="C6" s="59">
        <v>672000</v>
      </c>
      <c r="D6">
        <f t="shared" si="1"/>
        <v>21677.419354838708</v>
      </c>
      <c r="E6" s="1">
        <f>+N21</f>
        <v>3.3593187469547123</v>
      </c>
      <c r="F6" s="1">
        <f t="shared" si="2"/>
        <v>3.3593187469547119</v>
      </c>
      <c r="G6" s="141"/>
    </row>
    <row r="7" spans="1:21" x14ac:dyDescent="0.25">
      <c r="B7" s="31" t="s">
        <v>15</v>
      </c>
      <c r="C7" s="59">
        <f>59353+9180+37259</f>
        <v>105792</v>
      </c>
      <c r="D7">
        <f t="shared" si="1"/>
        <v>3412.6451612903224</v>
      </c>
      <c r="E7" s="1">
        <f>+N25</f>
        <v>0.52885275130629894</v>
      </c>
      <c r="F7" s="1">
        <f t="shared" si="2"/>
        <v>0.52885275130629894</v>
      </c>
      <c r="H7" s="3" t="s">
        <v>2</v>
      </c>
      <c r="I7" s="7">
        <f>+$D$3*$P$1</f>
        <v>276971.77419354836</v>
      </c>
      <c r="J7" s="7">
        <f>+$D$3*$Q$1</f>
        <v>387760.4838709677</v>
      </c>
      <c r="K7" s="7">
        <f>+$D$3*$R$1</f>
        <v>387760.4838709677</v>
      </c>
      <c r="L7" s="7">
        <f>+$D$3*$S$1</f>
        <v>387760.4838709677</v>
      </c>
      <c r="M7" s="7">
        <f>+$D$3*$T$1</f>
        <v>276971.77419354836</v>
      </c>
      <c r="N7" s="3">
        <f>SUM(I7:M7)</f>
        <v>1717225</v>
      </c>
    </row>
    <row r="8" spans="1:21" x14ac:dyDescent="0.25">
      <c r="B8" s="5" t="s">
        <v>16</v>
      </c>
      <c r="C8" s="59">
        <v>10816</v>
      </c>
      <c r="D8">
        <f t="shared" si="1"/>
        <v>348.90322580645159</v>
      </c>
      <c r="E8" s="1">
        <f>+N29</f>
        <v>5.4069035070032967E-2</v>
      </c>
      <c r="F8" s="1">
        <f t="shared" si="2"/>
        <v>5.4069035070032981E-2</v>
      </c>
      <c r="H8" s="3" t="s">
        <v>5</v>
      </c>
      <c r="I8">
        <v>25303.449999999993</v>
      </c>
      <c r="J8">
        <v>34505.499999999993</v>
      </c>
      <c r="K8">
        <v>46124.30000000001</v>
      </c>
      <c r="L8">
        <v>38724.949999999975</v>
      </c>
      <c r="M8">
        <v>19616.629999999997</v>
      </c>
      <c r="N8" s="3">
        <f>SUM(I8:M8)</f>
        <v>164274.82999999999</v>
      </c>
    </row>
    <row r="9" spans="1:21" x14ac:dyDescent="0.25">
      <c r="B9" s="5" t="s">
        <v>17</v>
      </c>
      <c r="C9" s="59">
        <f>46500+46090+87930</f>
        <v>180520</v>
      </c>
      <c r="D9">
        <f t="shared" si="1"/>
        <v>5823.2258064516127</v>
      </c>
      <c r="E9" s="1">
        <f>+N33</f>
        <v>0.90241699434563172</v>
      </c>
      <c r="F9" s="1">
        <f t="shared" si="2"/>
        <v>0.90241699434563172</v>
      </c>
      <c r="H9" s="3" t="s">
        <v>14</v>
      </c>
      <c r="I9" s="1">
        <f>IFERROR((I7/I8),"--")</f>
        <v>10.946008318768722</v>
      </c>
      <c r="J9" s="1">
        <f t="shared" ref="J9" si="3">IFERROR((J7/J8),"--")</f>
        <v>11.237642806826964</v>
      </c>
      <c r="K9" s="1">
        <f t="shared" ref="K9" si="4">IFERROR((K7/K8),"--")</f>
        <v>8.4068589414032875</v>
      </c>
      <c r="L9" s="1">
        <f t="shared" ref="L9" si="5">IFERROR((L7/L8),"--")</f>
        <v>10.013195210606288</v>
      </c>
      <c r="M9" s="1">
        <f t="shared" ref="M9" si="6">IFERROR((M7/M8),"--")</f>
        <v>14.119233231882765</v>
      </c>
      <c r="N9" s="6">
        <f t="shared" ref="N9" si="7">+N7/N8</f>
        <v>10.453366471296912</v>
      </c>
    </row>
    <row r="10" spans="1:21" x14ac:dyDescent="0.25">
      <c r="B10" s="5" t="s">
        <v>18</v>
      </c>
      <c r="C10" s="164">
        <f>172300+120545</f>
        <v>292845</v>
      </c>
      <c r="D10">
        <f t="shared" si="1"/>
        <v>9446.6129032258068</v>
      </c>
      <c r="E10" s="1">
        <f>+N37</f>
        <v>1.4639281226963579</v>
      </c>
      <c r="F10" s="1">
        <f t="shared" si="2"/>
        <v>1.4639281226963579</v>
      </c>
    </row>
    <row r="11" spans="1:21" x14ac:dyDescent="0.25">
      <c r="B11" s="5" t="s">
        <v>20</v>
      </c>
      <c r="C11" s="59">
        <v>468385</v>
      </c>
      <c r="D11">
        <f t="shared" si="1"/>
        <v>15109.193548387097</v>
      </c>
      <c r="E11" s="1">
        <f>+N41</f>
        <v>2.3414501656136646</v>
      </c>
      <c r="F11" s="1">
        <f t="shared" si="2"/>
        <v>2.3414501656136646</v>
      </c>
      <c r="H11" s="3" t="s">
        <v>1</v>
      </c>
      <c r="I11" s="7">
        <f>+$D$4*$P$1</f>
        <v>264149.19354838709</v>
      </c>
      <c r="J11" s="7">
        <f>+$D$4*$Q$1</f>
        <v>369808.87096774194</v>
      </c>
      <c r="K11" s="7">
        <f>+$D$4*$R$1</f>
        <v>369808.87096774194</v>
      </c>
      <c r="L11" s="7">
        <f>+$D$4*$S$1</f>
        <v>369808.87096774194</v>
      </c>
      <c r="M11" s="7">
        <f>+$D$4*$T$1</f>
        <v>264149.19354838709</v>
      </c>
      <c r="N11" s="3">
        <f>SUM(I11:M11)</f>
        <v>1637725</v>
      </c>
    </row>
    <row r="12" spans="1:21" x14ac:dyDescent="0.25">
      <c r="B12" s="5" t="s">
        <v>23</v>
      </c>
      <c r="C12" s="59"/>
      <c r="D12">
        <f t="shared" si="1"/>
        <v>0</v>
      </c>
      <c r="E12" s="1">
        <f>+N45</f>
        <v>0</v>
      </c>
      <c r="F12" s="1">
        <f t="shared" si="2"/>
        <v>0</v>
      </c>
      <c r="H12" s="3" t="s">
        <v>6</v>
      </c>
      <c r="I12">
        <f>+$I$4</f>
        <v>20382.68</v>
      </c>
      <c r="J12">
        <f>+$J$4</f>
        <v>40924.35</v>
      </c>
      <c r="K12">
        <f>+$K$4</f>
        <v>58491.939999999973</v>
      </c>
      <c r="L12">
        <f>+$L$4</f>
        <v>48728.439999999995</v>
      </c>
      <c r="M12">
        <f>+$M$4</f>
        <v>31513.148999999994</v>
      </c>
      <c r="N12" s="3">
        <f>SUM(I12:M12)</f>
        <v>200040.55899999998</v>
      </c>
    </row>
    <row r="13" spans="1:21" x14ac:dyDescent="0.25">
      <c r="B13" s="31" t="s">
        <v>19</v>
      </c>
      <c r="C13" s="59">
        <v>51449</v>
      </c>
      <c r="D13">
        <f t="shared" si="1"/>
        <v>1659.6451612903227</v>
      </c>
      <c r="E13" s="1">
        <f>+N49</f>
        <v>0.28999999999999998</v>
      </c>
      <c r="F13" s="1">
        <f>+C13/$N$4</f>
        <v>0.25719284257748953</v>
      </c>
      <c r="H13" s="3" t="s">
        <v>13</v>
      </c>
      <c r="I13" s="1">
        <f>IFERROR((I11/I12),"--")</f>
        <v>12.959492743269633</v>
      </c>
      <c r="J13" s="1">
        <f t="shared" ref="J13" si="8">IFERROR((J11/J12),"--")</f>
        <v>9.036401823553506</v>
      </c>
      <c r="K13" s="1">
        <f t="shared" ref="K13" si="9">IFERROR((K11/K12),"--")</f>
        <v>6.3223902467201825</v>
      </c>
      <c r="L13" s="1">
        <f t="shared" ref="L13" si="10">IFERROR((L11/L12),"--")</f>
        <v>7.5891793574295008</v>
      </c>
      <c r="M13" s="1">
        <f t="shared" ref="M13" si="11">IFERROR((M11/M12),"--")</f>
        <v>8.3821897185961056</v>
      </c>
      <c r="N13" s="6">
        <f t="shared" ref="N13" si="12">+N11/N12</f>
        <v>8.1869647244886981</v>
      </c>
    </row>
    <row r="14" spans="1:21" x14ac:dyDescent="0.25">
      <c r="B14" s="31" t="s">
        <v>8</v>
      </c>
      <c r="C14" s="60">
        <f>SUM(C2:C13)</f>
        <v>7022522</v>
      </c>
      <c r="D14" s="2">
        <f>SUM(D2:D13)</f>
        <v>226532.96774193551</v>
      </c>
      <c r="E14" s="11">
        <f>SUM(E2:E13)-E12</f>
        <v>37.007280280895898</v>
      </c>
      <c r="F14" s="11">
        <f>SUM(F2:F13)-F12</f>
        <v>36.974473123473388</v>
      </c>
      <c r="G14" s="1"/>
    </row>
    <row r="15" spans="1:21" x14ac:dyDescent="0.25">
      <c r="A15" s="63"/>
      <c r="B15" s="31" t="s">
        <v>30</v>
      </c>
      <c r="C15" s="61" t="s">
        <v>96</v>
      </c>
      <c r="E15" s="1"/>
      <c r="F15" s="1">
        <v>8.9700000000000006</v>
      </c>
      <c r="H15" s="3" t="s">
        <v>11</v>
      </c>
      <c r="I15" s="7">
        <f>+$D$5*$P$1</f>
        <v>44643.225806451606</v>
      </c>
      <c r="J15" s="7">
        <f>+$D$5*$Q$1</f>
        <v>62500.516129032258</v>
      </c>
      <c r="K15" s="7">
        <f>+$D$5*$R$1</f>
        <v>62500.516129032258</v>
      </c>
      <c r="L15" s="7">
        <f>+$D$5*$S$1</f>
        <v>62500.516129032258</v>
      </c>
      <c r="M15" s="7">
        <f>+$D$5*$T$1</f>
        <v>44643.225806451606</v>
      </c>
      <c r="N15" s="3">
        <f>SUM(I15:M15)</f>
        <v>276788</v>
      </c>
    </row>
    <row r="16" spans="1:21" x14ac:dyDescent="0.25">
      <c r="B16" s="31" t="s">
        <v>31</v>
      </c>
      <c r="E16" s="1"/>
      <c r="F16" s="1">
        <v>17.39</v>
      </c>
      <c r="H16" s="3" t="s">
        <v>6</v>
      </c>
      <c r="I16">
        <f>+$I$4</f>
        <v>20382.68</v>
      </c>
      <c r="J16">
        <f>+$J$4</f>
        <v>40924.35</v>
      </c>
      <c r="K16">
        <f>+$K$4</f>
        <v>58491.939999999973</v>
      </c>
      <c r="L16">
        <f>+$L$4</f>
        <v>48728.439999999995</v>
      </c>
      <c r="M16">
        <f>+$M$4</f>
        <v>31513.148999999994</v>
      </c>
      <c r="N16" s="3">
        <f>SUM(I16:M16)</f>
        <v>200040.55899999998</v>
      </c>
    </row>
    <row r="17" spans="2:14" x14ac:dyDescent="0.25">
      <c r="B17" s="31" t="s">
        <v>32</v>
      </c>
      <c r="E17" s="1"/>
      <c r="F17">
        <v>20.96</v>
      </c>
      <c r="H17" s="3" t="s">
        <v>12</v>
      </c>
      <c r="I17" s="1">
        <f>IFERROR((I15/I16),"--")</f>
        <v>2.1902529896192062</v>
      </c>
      <c r="J17" s="1">
        <f t="shared" ref="J17" si="13">IFERROR((J15/J16),"--")</f>
        <v>1.5272207409288665</v>
      </c>
      <c r="K17" s="1">
        <f t="shared" ref="K17" si="14">IFERROR((K15/K16),"--")</f>
        <v>1.0685321110743171</v>
      </c>
      <c r="L17" s="1">
        <f t="shared" ref="L17" si="15">IFERROR((L15/L16),"--")</f>
        <v>1.2826291202639006</v>
      </c>
      <c r="M17" s="1">
        <f t="shared" ref="M17" si="16">IFERROR((M15/M16),"--")</f>
        <v>1.4166539118782326</v>
      </c>
      <c r="N17" s="6">
        <f t="shared" ref="N17" si="17">+N15/N16</f>
        <v>1.3836594007918166</v>
      </c>
    </row>
    <row r="18" spans="2:14" x14ac:dyDescent="0.25">
      <c r="B18" s="31" t="s">
        <v>33</v>
      </c>
      <c r="F18" s="11">
        <f>+F15+F14+F16+F17</f>
        <v>84.294473123473381</v>
      </c>
    </row>
    <row r="19" spans="2:14" x14ac:dyDescent="0.25">
      <c r="E19" s="1"/>
      <c r="F19" s="1"/>
      <c r="H19" s="3" t="s">
        <v>9</v>
      </c>
      <c r="I19" s="7">
        <f>+$D$6*$P$1</f>
        <v>108387.09677419355</v>
      </c>
      <c r="J19" s="7">
        <f>+$D$6*$Q$1</f>
        <v>151741.93548387097</v>
      </c>
      <c r="K19" s="7">
        <f>+$D$6*$R$1</f>
        <v>151741.93548387097</v>
      </c>
      <c r="L19" s="7">
        <f>+$D$6*$S$1</f>
        <v>151741.93548387097</v>
      </c>
      <c r="M19" s="7">
        <f>+$D$6*$T$1</f>
        <v>108387.09677419355</v>
      </c>
      <c r="N19" s="3">
        <f>SUM(I19:M19)</f>
        <v>672000.00000000012</v>
      </c>
    </row>
    <row r="20" spans="2:14" x14ac:dyDescent="0.25">
      <c r="C20"/>
      <c r="E20" s="1"/>
      <c r="H20" s="3" t="s">
        <v>6</v>
      </c>
      <c r="I20">
        <f>+$I$4</f>
        <v>20382.68</v>
      </c>
      <c r="J20">
        <f>+$J$4</f>
        <v>40924.35</v>
      </c>
      <c r="K20">
        <f>+$K$4</f>
        <v>58491.939999999973</v>
      </c>
      <c r="L20">
        <f>+$L$4</f>
        <v>48728.439999999995</v>
      </c>
      <c r="M20">
        <f>+$M$4</f>
        <v>31513.148999999994</v>
      </c>
      <c r="N20" s="3">
        <f>SUM(I20:M20)</f>
        <v>200040.55899999998</v>
      </c>
    </row>
    <row r="21" spans="2:14" x14ac:dyDescent="0.25">
      <c r="E21" s="1"/>
      <c r="F21" s="1"/>
      <c r="H21" s="3" t="s">
        <v>12</v>
      </c>
      <c r="I21" s="1">
        <f>IFERROR((I19/I20),"--")</f>
        <v>5.3176077323587254</v>
      </c>
      <c r="J21" s="1">
        <f t="shared" ref="J21" si="18">IFERROR((J19/J20),"--")</f>
        <v>3.7078642784520945</v>
      </c>
      <c r="K21" s="1">
        <f t="shared" ref="K21" si="19">IFERROR((K19/K20),"--")</f>
        <v>2.5942366672035675</v>
      </c>
      <c r="L21" s="1">
        <f t="shared" ref="L21" si="20">IFERROR((L19/L20),"--")</f>
        <v>3.1140322875895676</v>
      </c>
      <c r="M21" s="1">
        <f t="shared" ref="M21" si="21">IFERROR((M19/M20),"--")</f>
        <v>3.439424500997776</v>
      </c>
      <c r="N21" s="6">
        <f t="shared" ref="N21" si="22">+N19/N20</f>
        <v>3.3593187469547123</v>
      </c>
    </row>
    <row r="22" spans="2:14" x14ac:dyDescent="0.25">
      <c r="E22" s="1"/>
    </row>
    <row r="23" spans="2:14" x14ac:dyDescent="0.25">
      <c r="E23" s="1"/>
      <c r="F23" s="1"/>
      <c r="H23" s="3" t="s">
        <v>15</v>
      </c>
      <c r="I23" s="7">
        <f>+$D$7*$P$1</f>
        <v>17063.225806451614</v>
      </c>
      <c r="J23" s="7">
        <f>+$D$7*$Q$1</f>
        <v>23888.516129032258</v>
      </c>
      <c r="K23" s="7">
        <f>+$D$7*$R$1</f>
        <v>23888.516129032258</v>
      </c>
      <c r="L23" s="7">
        <f>+$D$7*$S$1</f>
        <v>23888.516129032258</v>
      </c>
      <c r="M23" s="7">
        <f>+$D$7*$T$1</f>
        <v>17063.225806451614</v>
      </c>
      <c r="N23" s="8">
        <f>SUM(I23:M23)</f>
        <v>105792</v>
      </c>
    </row>
    <row r="24" spans="2:14" x14ac:dyDescent="0.25">
      <c r="E24" s="1"/>
      <c r="F24" s="1"/>
      <c r="H24" s="3" t="s">
        <v>6</v>
      </c>
      <c r="I24">
        <f>+$I$4</f>
        <v>20382.68</v>
      </c>
      <c r="J24">
        <f>+$J$4</f>
        <v>40924.35</v>
      </c>
      <c r="K24">
        <f>+$K$4</f>
        <v>58491.939999999973</v>
      </c>
      <c r="L24">
        <f>+$L$4</f>
        <v>48728.439999999995</v>
      </c>
      <c r="M24">
        <f>+$M$4</f>
        <v>31513.148999999994</v>
      </c>
      <c r="N24" s="3">
        <f>SUM(I24:M24)</f>
        <v>200040.55899999998</v>
      </c>
    </row>
    <row r="25" spans="2:14" x14ac:dyDescent="0.25">
      <c r="E25" s="1"/>
      <c r="F25" s="1"/>
      <c r="H25" s="3" t="s">
        <v>12</v>
      </c>
      <c r="I25" s="1">
        <f>IFERROR((I23/I24),"--")</f>
        <v>0.8371433887227594</v>
      </c>
      <c r="J25" s="1">
        <f t="shared" ref="J25" si="23">IFERROR((J23/J24),"--")</f>
        <v>0.58372377640774398</v>
      </c>
      <c r="K25" s="1">
        <f t="shared" ref="K25" si="24">IFERROR((K23/K24),"--")</f>
        <v>0.40840697246547591</v>
      </c>
      <c r="L25" s="1">
        <f t="shared" ref="L25" si="25">IFERROR((L23/L24),"--")</f>
        <v>0.49023765441767192</v>
      </c>
      <c r="M25" s="1">
        <f t="shared" ref="M25" si="26">IFERROR((M23/M24),"--")</f>
        <v>0.54146368572850712</v>
      </c>
      <c r="N25" s="6">
        <f t="shared" ref="N25" si="27">+N23/N24</f>
        <v>0.52885275130629894</v>
      </c>
    </row>
    <row r="26" spans="2:14" x14ac:dyDescent="0.25">
      <c r="E26" s="1"/>
    </row>
    <row r="27" spans="2:14" x14ac:dyDescent="0.25">
      <c r="E27" s="1"/>
      <c r="F27" s="1"/>
      <c r="H27" s="3" t="s">
        <v>16</v>
      </c>
      <c r="I27" s="7">
        <f>+$D$8*$P$1</f>
        <v>1744.516129032258</v>
      </c>
      <c r="J27" s="7">
        <f>+$D$8*$Q$1</f>
        <v>2442.322580645161</v>
      </c>
      <c r="K27" s="7">
        <f>+$D$8*$R$1</f>
        <v>2442.322580645161</v>
      </c>
      <c r="L27" s="7">
        <f>+$D$8*$S$1</f>
        <v>2442.322580645161</v>
      </c>
      <c r="M27" s="7">
        <f>+$D$8*$T$1</f>
        <v>1744.516129032258</v>
      </c>
      <c r="N27" s="8">
        <f>SUM(I27:M27)</f>
        <v>10815.999999999998</v>
      </c>
    </row>
    <row r="28" spans="2:14" x14ac:dyDescent="0.25">
      <c r="E28" s="1"/>
      <c r="F28" s="1"/>
      <c r="H28" s="3" t="s">
        <v>6</v>
      </c>
      <c r="I28">
        <f>+$I$4</f>
        <v>20382.68</v>
      </c>
      <c r="J28">
        <f>+$J$4</f>
        <v>40924.35</v>
      </c>
      <c r="K28">
        <f>+$K$4</f>
        <v>58491.939999999973</v>
      </c>
      <c r="L28">
        <f>+$L$4</f>
        <v>48728.439999999995</v>
      </c>
      <c r="M28">
        <f>+$M$4</f>
        <v>31513.148999999994</v>
      </c>
      <c r="N28" s="3">
        <f>SUM(I28:M28)</f>
        <v>200040.55899999998</v>
      </c>
    </row>
    <row r="29" spans="2:14" x14ac:dyDescent="0.25">
      <c r="E29" s="1"/>
      <c r="F29" s="1"/>
      <c r="H29" s="3" t="s">
        <v>12</v>
      </c>
      <c r="I29" s="1">
        <f>IFERROR((I27/I28),"--")</f>
        <v>8.5588162549392818E-2</v>
      </c>
      <c r="J29" s="1">
        <f t="shared" ref="J29" si="28">IFERROR((J27/J28),"--")</f>
        <v>5.9678958386514658E-2</v>
      </c>
      <c r="K29" s="1">
        <f t="shared" ref="K29" si="29">IFERROR((K27/K28),"--")</f>
        <v>4.1754856834038366E-2</v>
      </c>
      <c r="L29" s="1">
        <f t="shared" ref="L29" si="30">IFERROR((L27/L28),"--")</f>
        <v>5.0121091105013033E-2</v>
      </c>
      <c r="M29" s="1">
        <f t="shared" ref="M29" si="31">IFERROR((M27/M28),"--")</f>
        <v>5.5358356254154681E-2</v>
      </c>
      <c r="N29" s="6">
        <f t="shared" ref="N29" si="32">+N27/N28</f>
        <v>5.4069035070032967E-2</v>
      </c>
    </row>
    <row r="31" spans="2:14" x14ac:dyDescent="0.25">
      <c r="E31" s="1"/>
      <c r="F31" s="1"/>
      <c r="H31" s="5" t="s">
        <v>21</v>
      </c>
      <c r="I31" s="7">
        <f>+$D$9*$P$1</f>
        <v>29116.129032258064</v>
      </c>
      <c r="J31" s="7">
        <f>+$D$9*$Q$1</f>
        <v>40762.580645161288</v>
      </c>
      <c r="K31" s="7">
        <f>+$D$9*$R$1</f>
        <v>40762.580645161288</v>
      </c>
      <c r="L31" s="7">
        <f>+$D$9*$S$1</f>
        <v>40762.580645161288</v>
      </c>
      <c r="M31" s="7">
        <f>+$D$9*$T$1</f>
        <v>29116.129032258064</v>
      </c>
      <c r="N31" s="8">
        <f>SUM(I31:M31)</f>
        <v>180520</v>
      </c>
    </row>
    <row r="32" spans="2:14" x14ac:dyDescent="0.25">
      <c r="E32" s="1"/>
      <c r="F32" s="1"/>
      <c r="H32" s="3" t="s">
        <v>6</v>
      </c>
      <c r="I32">
        <f>+$I$4</f>
        <v>20382.68</v>
      </c>
      <c r="J32">
        <f>+$J$4</f>
        <v>40924.35</v>
      </c>
      <c r="K32">
        <f>+$K$4</f>
        <v>58491.939999999973</v>
      </c>
      <c r="L32">
        <f>+$L$4</f>
        <v>48728.439999999995</v>
      </c>
      <c r="M32">
        <f>+$M$4</f>
        <v>31513.148999999994</v>
      </c>
      <c r="N32" s="3">
        <f>SUM(I32:M32)</f>
        <v>200040.55899999998</v>
      </c>
    </row>
    <row r="33" spans="5:14" x14ac:dyDescent="0.25">
      <c r="E33" s="1"/>
      <c r="F33" s="1"/>
      <c r="H33" s="3" t="s">
        <v>12</v>
      </c>
      <c r="I33" s="1">
        <f>IFERROR((I31/I32),"--")</f>
        <v>1.428474029531841</v>
      </c>
      <c r="J33" s="1">
        <f t="shared" ref="J33" si="33">IFERROR((J31/J32),"--")</f>
        <v>0.99604711241989885</v>
      </c>
      <c r="K33" s="1">
        <f t="shared" ref="K33" si="34">IFERROR((K31/K32),"--")</f>
        <v>0.69689226661248216</v>
      </c>
      <c r="L33" s="1">
        <f t="shared" ref="L33" si="35">IFERROR((L31/L32),"--")</f>
        <v>0.83652545916022125</v>
      </c>
      <c r="M33" s="1">
        <f t="shared" ref="M33" si="36">IFERROR((M31/M32),"--")</f>
        <v>0.92393587934541455</v>
      </c>
      <c r="N33" s="6">
        <f t="shared" ref="N33" si="37">+N31/N32</f>
        <v>0.90241699434563172</v>
      </c>
    </row>
    <row r="35" spans="5:14" x14ac:dyDescent="0.25">
      <c r="E35" s="1"/>
      <c r="F35" s="1"/>
      <c r="H35" s="5" t="s">
        <v>22</v>
      </c>
      <c r="I35" s="7">
        <f>+$D$10*$P$1</f>
        <v>47233.06451612903</v>
      </c>
      <c r="J35" s="7">
        <f>+$D$10*$Q$1</f>
        <v>66126.290322580651</v>
      </c>
      <c r="K35" s="7">
        <f>+$D$10*$R$1</f>
        <v>66126.290322580651</v>
      </c>
      <c r="L35" s="7">
        <f>+$D$10*$S$1</f>
        <v>66126.290322580651</v>
      </c>
      <c r="M35" s="7">
        <f>+$D$10*$T$1</f>
        <v>47233.06451612903</v>
      </c>
      <c r="N35" s="8">
        <f>SUM(I35:M35)</f>
        <v>292845</v>
      </c>
    </row>
    <row r="36" spans="5:14" x14ac:dyDescent="0.25">
      <c r="E36" s="1"/>
      <c r="F36" s="1"/>
      <c r="H36" s="3" t="s">
        <v>6</v>
      </c>
      <c r="I36">
        <f>+$I$4</f>
        <v>20382.68</v>
      </c>
      <c r="J36">
        <f>+$J$4</f>
        <v>40924.35</v>
      </c>
      <c r="K36">
        <f>+$K$4</f>
        <v>58491.939999999973</v>
      </c>
      <c r="L36">
        <f>+$L$4</f>
        <v>48728.439999999995</v>
      </c>
      <c r="M36">
        <f>+$M$4</f>
        <v>31513.148999999994</v>
      </c>
      <c r="N36" s="3">
        <f>SUM(I36:M36)</f>
        <v>200040.55899999998</v>
      </c>
    </row>
    <row r="37" spans="5:14" x14ac:dyDescent="0.25">
      <c r="E37" s="1"/>
      <c r="F37" s="1"/>
      <c r="H37" s="3" t="s">
        <v>12</v>
      </c>
      <c r="I37" s="1">
        <f>IFERROR((I35/I36),"--")</f>
        <v>2.3173137446169507</v>
      </c>
      <c r="J37" s="1">
        <f t="shared" ref="J37" si="38">IFERROR((J35/J36),"--")</f>
        <v>1.615817730094202</v>
      </c>
      <c r="K37" s="1">
        <f t="shared" ref="K37" si="39">IFERROR((K35/K36),"--")</f>
        <v>1.1305196976298046</v>
      </c>
      <c r="L37" s="1">
        <f t="shared" ref="L37" si="40">IFERROR((L35/L36),"--")</f>
        <v>1.3570368828261414</v>
      </c>
      <c r="M37" s="1">
        <f t="shared" ref="M37" si="41">IFERROR((M35/M36),"--")</f>
        <v>1.498836708325437</v>
      </c>
      <c r="N37" s="6">
        <f t="shared" ref="N37" si="42">+N35/N36</f>
        <v>1.4639281226963579</v>
      </c>
    </row>
    <row r="39" spans="5:14" x14ac:dyDescent="0.25">
      <c r="E39" s="1"/>
      <c r="F39" s="1"/>
      <c r="H39" s="5" t="s">
        <v>20</v>
      </c>
      <c r="I39" s="7">
        <f>+$D$11*$P$1</f>
        <v>75545.967741935485</v>
      </c>
      <c r="J39" s="7">
        <f>+$D$11*$Q$1</f>
        <v>105764.35483870968</v>
      </c>
      <c r="K39" s="7">
        <f>+$D$11*$R$1</f>
        <v>105764.35483870968</v>
      </c>
      <c r="L39" s="7">
        <f>+$D$11*$S$1</f>
        <v>105764.35483870968</v>
      </c>
      <c r="M39" s="7">
        <f>+$D$11*$T$1</f>
        <v>75545.967741935485</v>
      </c>
      <c r="N39" s="8">
        <f>SUM(I39:M39)</f>
        <v>468385</v>
      </c>
    </row>
    <row r="40" spans="5:14" x14ac:dyDescent="0.25">
      <c r="E40" s="1"/>
      <c r="F40" s="1"/>
      <c r="H40" s="3" t="s">
        <v>6</v>
      </c>
      <c r="I40">
        <f>+$I$4</f>
        <v>20382.68</v>
      </c>
      <c r="J40">
        <f>+$J$4</f>
        <v>40924.35</v>
      </c>
      <c r="K40">
        <f>+$K$4</f>
        <v>58491.939999999973</v>
      </c>
      <c r="L40">
        <f>+$L$4</f>
        <v>48728.439999999995</v>
      </c>
      <c r="M40">
        <f>+$M$4</f>
        <v>31513.148999999994</v>
      </c>
      <c r="N40" s="3">
        <f>SUM(I40:M40)</f>
        <v>200040.55899999998</v>
      </c>
    </row>
    <row r="41" spans="5:14" x14ac:dyDescent="0.25">
      <c r="E41" s="1"/>
      <c r="F41" s="1"/>
      <c r="H41" s="3" t="s">
        <v>12</v>
      </c>
      <c r="I41" s="1">
        <f>IFERROR((I39/I40),"--")</f>
        <v>3.7063805025607763</v>
      </c>
      <c r="J41" s="1">
        <f t="shared" ref="J41" si="43">IFERROR((J39/J40),"--")</f>
        <v>2.5843869197362861</v>
      </c>
      <c r="K41" s="1">
        <f t="shared" ref="K41" si="44">IFERROR((K39/K40),"--")</f>
        <v>1.8081868175121176</v>
      </c>
      <c r="L41" s="1">
        <f t="shared" ref="L41" si="45">IFERROR((L39/L40),"--")</f>
        <v>2.1704851384265469</v>
      </c>
      <c r="M41" s="1">
        <f t="shared" ref="M41" si="46">IFERROR((M39/M40),"--")</f>
        <v>2.3972839953866716</v>
      </c>
      <c r="N41" s="6">
        <f t="shared" ref="N41" si="47">+N39/N40</f>
        <v>2.3414501656136646</v>
      </c>
    </row>
    <row r="43" spans="5:14" x14ac:dyDescent="0.25">
      <c r="E43" s="1"/>
      <c r="F43" s="1"/>
      <c r="H43" s="5" t="s">
        <v>23</v>
      </c>
      <c r="I43" s="7">
        <f>+$D$12*$P$1</f>
        <v>0</v>
      </c>
      <c r="J43" s="7">
        <f>+$D$12*$Q$1</f>
        <v>0</v>
      </c>
      <c r="K43" s="7">
        <f>+$D$12*$R$1</f>
        <v>0</v>
      </c>
      <c r="L43" s="7">
        <f>+$D$12*$S$1</f>
        <v>0</v>
      </c>
      <c r="M43" s="7">
        <f>+$D$12*$T$1</f>
        <v>0</v>
      </c>
      <c r="N43" s="8">
        <f>SUM(I43:M43)</f>
        <v>0</v>
      </c>
    </row>
    <row r="44" spans="5:14" x14ac:dyDescent="0.25">
      <c r="E44" s="1"/>
      <c r="F44" s="1"/>
      <c r="H44" s="3" t="s">
        <v>6</v>
      </c>
      <c r="I44">
        <f>+$I$4</f>
        <v>20382.68</v>
      </c>
      <c r="J44">
        <f>+$J$4</f>
        <v>40924.35</v>
      </c>
      <c r="K44">
        <f>+$K$4</f>
        <v>58491.939999999973</v>
      </c>
      <c r="L44">
        <f>+$L$4</f>
        <v>48728.439999999995</v>
      </c>
      <c r="M44">
        <f>+$M$4</f>
        <v>31513.148999999994</v>
      </c>
      <c r="N44" s="3">
        <f>SUM(I44:M44)</f>
        <v>200040.55899999998</v>
      </c>
    </row>
    <row r="45" spans="5:14" x14ac:dyDescent="0.25">
      <c r="E45" s="1"/>
      <c r="F45" s="1"/>
      <c r="H45" s="3" t="s">
        <v>12</v>
      </c>
      <c r="I45" s="1">
        <f>IFERROR((I43/I44),"--")</f>
        <v>0</v>
      </c>
      <c r="J45" s="1">
        <f t="shared" ref="J45" si="48">IFERROR((J43/J44),"--")</f>
        <v>0</v>
      </c>
      <c r="K45" s="1">
        <f t="shared" ref="K45" si="49">IFERROR((K43/K44),"--")</f>
        <v>0</v>
      </c>
      <c r="L45" s="1">
        <f t="shared" ref="L45" si="50">IFERROR((L43/L44),"--")</f>
        <v>0</v>
      </c>
      <c r="M45" s="1">
        <f t="shared" ref="M45" si="51">IFERROR((M43/M44),"--")</f>
        <v>0</v>
      </c>
      <c r="N45" s="6">
        <f t="shared" ref="N45" si="52">+N43/N44</f>
        <v>0</v>
      </c>
    </row>
    <row r="47" spans="5:14" x14ac:dyDescent="0.25">
      <c r="E47" s="1"/>
      <c r="F47" s="1"/>
      <c r="H47" s="5" t="s">
        <v>19</v>
      </c>
      <c r="I47" s="7">
        <f>+$D$13*$P$1</f>
        <v>8298.2258064516136</v>
      </c>
      <c r="J47" s="7">
        <f>+$D$13*$Q$1</f>
        <v>11617.516129032259</v>
      </c>
      <c r="K47" s="7">
        <f>+$D$13*$R$1</f>
        <v>11617.516129032259</v>
      </c>
      <c r="L47" s="7">
        <f>+$D$13*$S$1</f>
        <v>11617.516129032259</v>
      </c>
      <c r="M47" s="7">
        <f>+$D$13*$T$1</f>
        <v>8298.2258064516136</v>
      </c>
      <c r="N47" s="8">
        <f>SUM(I47:M47)</f>
        <v>51449</v>
      </c>
    </row>
    <row r="48" spans="5:14" x14ac:dyDescent="0.25">
      <c r="E48" s="1"/>
      <c r="F48" s="1"/>
      <c r="H48" s="3" t="s">
        <v>6</v>
      </c>
      <c r="I48">
        <f>+$I$4</f>
        <v>20382.68</v>
      </c>
      <c r="J48">
        <f>+$J$4</f>
        <v>40924.35</v>
      </c>
      <c r="K48">
        <f>+$K$4</f>
        <v>58491.939999999973</v>
      </c>
      <c r="L48">
        <f>+$L$4</f>
        <v>48728.439999999995</v>
      </c>
      <c r="M48">
        <f>+$M$4</f>
        <v>31513.148999999994</v>
      </c>
      <c r="N48" s="3">
        <f>SUM(I48:M48)</f>
        <v>200040.55899999998</v>
      </c>
    </row>
    <row r="49" spans="5:14" x14ac:dyDescent="0.25">
      <c r="E49" s="1"/>
      <c r="F49" s="1"/>
      <c r="H49" s="3" t="s">
        <v>12</v>
      </c>
      <c r="I49" s="1">
        <f>IFERROR((I47/I48),"--")</f>
        <v>0.40712142890197039</v>
      </c>
      <c r="J49" s="1">
        <f t="shared" ref="J49" si="53">IFERROR((J47/J48),"--")</f>
        <v>0.28387784116381226</v>
      </c>
      <c r="K49" s="1">
        <f t="shared" ref="K49" si="54">IFERROR((K47/K48),"--")</f>
        <v>0.19861738436154219</v>
      </c>
      <c r="L49" s="1">
        <f t="shared" ref="L49" si="55">IFERROR((L47/L48),"--")</f>
        <v>0.23841346304195785</v>
      </c>
      <c r="M49" s="1">
        <f t="shared" ref="M49" si="56">IFERROR((M47/M48),"--")</f>
        <v>0.26332582016642053</v>
      </c>
      <c r="N49" s="6">
        <v>0.28999999999999998</v>
      </c>
    </row>
  </sheetData>
  <pageMargins left="0.7" right="0.7" top="0.75" bottom="0.75" header="0.3" footer="0.3"/>
  <ignoredErrors>
    <ignoredError sqref="F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B95A-2C50-4EA0-BF5E-9232713250C1}">
  <sheetPr>
    <pageSetUpPr fitToPage="1"/>
  </sheetPr>
  <dimension ref="B3:AG262"/>
  <sheetViews>
    <sheetView showGridLines="0" tabSelected="1" topLeftCell="J2" zoomScaleNormal="100" workbookViewId="0">
      <pane xSplit="1" topLeftCell="L1" activePane="topRight" state="frozen"/>
      <selection activeCell="J1" sqref="J1"/>
      <selection pane="topRight" activeCell="J3" sqref="J3:AB3"/>
    </sheetView>
  </sheetViews>
  <sheetFormatPr defaultRowHeight="15" x14ac:dyDescent="0.25"/>
  <cols>
    <col min="2" max="2" width="30.5703125" bestFit="1" customWidth="1"/>
    <col min="3" max="3" width="11.7109375" bestFit="1" customWidth="1"/>
    <col min="4" max="4" width="12" bestFit="1" customWidth="1"/>
    <col min="5" max="5" width="12.85546875" bestFit="1" customWidth="1"/>
    <col min="6" max="6" width="7.5703125" bestFit="1" customWidth="1"/>
    <col min="9" max="9" width="9.5703125" bestFit="1" customWidth="1"/>
    <col min="10" max="10" width="35.42578125" bestFit="1" customWidth="1"/>
    <col min="11" max="13" width="11.5703125" bestFit="1" customWidth="1"/>
    <col min="14" max="14" width="10.5703125" bestFit="1" customWidth="1"/>
    <col min="15" max="16" width="11.5703125" bestFit="1" customWidth="1"/>
    <col min="17" max="17" width="13.28515625" bestFit="1" customWidth="1"/>
    <col min="18" max="19" width="11.5703125" bestFit="1" customWidth="1"/>
    <col min="20" max="20" width="9.42578125" customWidth="1"/>
    <col min="21" max="21" width="11.5703125" bestFit="1" customWidth="1"/>
    <col min="24" max="24" width="11.5703125" bestFit="1" customWidth="1"/>
    <col min="25" max="28" width="11.5703125" customWidth="1"/>
    <col min="30" max="30" width="45.140625" bestFit="1" customWidth="1"/>
    <col min="31" max="33" width="10.5703125" bestFit="1" customWidth="1"/>
  </cols>
  <sheetData>
    <row r="3" spans="2:33" ht="19.5" thickBot="1" x14ac:dyDescent="0.35">
      <c r="J3" s="176" t="s">
        <v>155</v>
      </c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</row>
    <row r="4" spans="2:33" ht="15.75" thickBot="1" x14ac:dyDescent="0.3">
      <c r="B4" s="168" t="s">
        <v>39</v>
      </c>
      <c r="C4" s="169"/>
      <c r="D4" s="169"/>
      <c r="E4" s="169"/>
      <c r="F4" s="170"/>
      <c r="G4" s="12" t="s">
        <v>0</v>
      </c>
      <c r="H4" s="12" t="s">
        <v>2</v>
      </c>
      <c r="J4" s="45" t="s">
        <v>29</v>
      </c>
      <c r="K4" s="95">
        <v>133131.83000000002</v>
      </c>
      <c r="L4" s="95">
        <v>123190.05499999999</v>
      </c>
      <c r="M4" s="95">
        <v>147332.01999999999</v>
      </c>
      <c r="N4" s="95">
        <v>87462.68</v>
      </c>
      <c r="O4" s="95">
        <v>222812</v>
      </c>
      <c r="P4" s="95">
        <v>136837.31000000006</v>
      </c>
      <c r="Q4" s="95">
        <v>1191800.9999999998</v>
      </c>
      <c r="R4" s="95">
        <v>124297.69500000002</v>
      </c>
      <c r="S4" s="95">
        <f>+G165</f>
        <v>151478.96799999999</v>
      </c>
      <c r="T4" s="95">
        <f>+G185</f>
        <v>153883</v>
      </c>
      <c r="U4" s="95">
        <v>136060</v>
      </c>
      <c r="V4" s="95">
        <v>171979.2</v>
      </c>
      <c r="W4" s="95">
        <v>167817.9</v>
      </c>
      <c r="X4" s="95">
        <v>167817.9</v>
      </c>
      <c r="Y4" s="95">
        <v>160993</v>
      </c>
      <c r="Z4" s="95">
        <v>141000</v>
      </c>
      <c r="AA4" s="95">
        <v>119659.45499999999</v>
      </c>
      <c r="AB4" s="95">
        <v>200040.55899999998</v>
      </c>
      <c r="AD4" s="106" t="s">
        <v>101</v>
      </c>
      <c r="AE4" s="107">
        <v>46048</v>
      </c>
      <c r="AF4" s="107">
        <v>46079</v>
      </c>
      <c r="AG4" s="107">
        <v>46107</v>
      </c>
    </row>
    <row r="5" spans="2:33" ht="29.25" customHeight="1" thickBot="1" x14ac:dyDescent="0.3">
      <c r="B5" s="49" t="s">
        <v>55</v>
      </c>
      <c r="C5" s="50" t="s">
        <v>4</v>
      </c>
      <c r="D5" s="50" t="s">
        <v>3</v>
      </c>
      <c r="E5" s="50" t="s">
        <v>24</v>
      </c>
      <c r="F5" s="50" t="s">
        <v>38</v>
      </c>
      <c r="G5" s="50">
        <v>133131.83000000002</v>
      </c>
      <c r="H5" s="50">
        <v>134516.25</v>
      </c>
      <c r="I5" s="30"/>
      <c r="J5" s="82" t="s">
        <v>55</v>
      </c>
      <c r="K5" s="44">
        <v>45658</v>
      </c>
      <c r="L5" s="44">
        <v>45689</v>
      </c>
      <c r="M5" s="81">
        <v>45717</v>
      </c>
      <c r="N5" s="81">
        <v>45748</v>
      </c>
      <c r="O5" s="81">
        <v>45778</v>
      </c>
      <c r="P5" s="81">
        <v>45809</v>
      </c>
      <c r="Q5" s="81">
        <v>45839</v>
      </c>
      <c r="R5" s="81">
        <v>45870</v>
      </c>
      <c r="S5" s="81">
        <v>45901</v>
      </c>
      <c r="T5" s="81">
        <v>45931</v>
      </c>
      <c r="U5" s="81">
        <v>45962</v>
      </c>
      <c r="V5" s="81">
        <v>45992</v>
      </c>
      <c r="W5" s="81">
        <v>46023</v>
      </c>
      <c r="X5" s="81" t="s">
        <v>139</v>
      </c>
      <c r="Y5" s="81">
        <v>46054</v>
      </c>
      <c r="Z5" s="81" t="s">
        <v>154</v>
      </c>
      <c r="AA5" s="81">
        <v>46082</v>
      </c>
      <c r="AB5" s="81">
        <v>46113</v>
      </c>
      <c r="AD5" s="108" t="s">
        <v>102</v>
      </c>
      <c r="AE5" s="109">
        <v>585.28</v>
      </c>
      <c r="AF5" s="109">
        <v>518.4</v>
      </c>
      <c r="AG5" s="109">
        <v>561.6</v>
      </c>
    </row>
    <row r="6" spans="2:33" ht="15" customHeight="1" x14ac:dyDescent="0.25">
      <c r="B6" s="18" t="s">
        <v>0</v>
      </c>
      <c r="C6" s="13">
        <v>997418</v>
      </c>
      <c r="D6" s="15">
        <v>32174.774193548386</v>
      </c>
      <c r="E6" s="15">
        <v>7.49195740793167</v>
      </c>
      <c r="F6" s="15">
        <v>7.4919574079316709</v>
      </c>
      <c r="G6" s="14"/>
      <c r="H6" s="19"/>
      <c r="I6" s="30"/>
      <c r="J6" s="17" t="s">
        <v>87</v>
      </c>
      <c r="K6" s="15">
        <v>461.63</v>
      </c>
      <c r="L6" s="15">
        <v>470.13</v>
      </c>
      <c r="M6" s="15">
        <v>611.6</v>
      </c>
      <c r="N6" s="15">
        <v>317.37</v>
      </c>
      <c r="O6" s="15">
        <v>512.35</v>
      </c>
      <c r="P6" s="15">
        <v>511.2</v>
      </c>
      <c r="Q6" s="15">
        <v>580.4</v>
      </c>
      <c r="R6" s="15">
        <v>679.05</v>
      </c>
      <c r="S6" s="15">
        <v>696.98</v>
      </c>
      <c r="T6" s="15">
        <v>649.07000000000005</v>
      </c>
      <c r="U6" s="85">
        <v>596.23</v>
      </c>
      <c r="V6" s="85">
        <v>613.37</v>
      </c>
      <c r="W6" s="85">
        <v>643.5</v>
      </c>
      <c r="X6" s="85">
        <v>585</v>
      </c>
      <c r="Y6" s="85">
        <v>795.56</v>
      </c>
      <c r="Z6" s="85">
        <v>518</v>
      </c>
      <c r="AA6" s="85">
        <v>673</v>
      </c>
      <c r="AB6" s="85">
        <v>673</v>
      </c>
      <c r="AD6" s="108" t="s">
        <v>103</v>
      </c>
      <c r="AE6" s="110">
        <v>0.27</v>
      </c>
      <c r="AF6" s="110">
        <v>0.27</v>
      </c>
      <c r="AG6" s="110">
        <v>0.27</v>
      </c>
    </row>
    <row r="7" spans="2:33" ht="15.75" customHeight="1" x14ac:dyDescent="0.25">
      <c r="B7" s="18" t="s">
        <v>2</v>
      </c>
      <c r="C7" s="13">
        <v>1064659</v>
      </c>
      <c r="D7" s="15">
        <v>34343.838709677417</v>
      </c>
      <c r="E7" s="15">
        <v>7.9147240575023465</v>
      </c>
      <c r="F7" s="15">
        <v>7.9147240575023465</v>
      </c>
      <c r="G7" s="14"/>
      <c r="H7" s="19"/>
      <c r="I7" s="30"/>
      <c r="J7" s="18" t="s">
        <v>88</v>
      </c>
      <c r="K7" s="89">
        <v>0.19020000000000001</v>
      </c>
      <c r="L7" s="89">
        <v>0.19070000000000001</v>
      </c>
      <c r="M7" s="89">
        <v>0.21049999999999999</v>
      </c>
      <c r="N7" s="89">
        <v>0.1903</v>
      </c>
      <c r="O7" s="89">
        <v>0.17430000000000001</v>
      </c>
      <c r="P7" s="89">
        <v>0.2427</v>
      </c>
      <c r="Q7" s="89">
        <v>0.27329999999999999</v>
      </c>
      <c r="R7" s="89">
        <v>0.31</v>
      </c>
      <c r="S7" s="89">
        <v>0.29749999999999999</v>
      </c>
      <c r="T7" s="89">
        <v>0.2767</v>
      </c>
      <c r="U7" s="90">
        <v>0.2802</v>
      </c>
      <c r="V7" s="90">
        <v>0.25779999999999997</v>
      </c>
      <c r="W7" s="90">
        <v>0.255</v>
      </c>
      <c r="X7" s="90">
        <v>0.27</v>
      </c>
      <c r="Y7" s="90">
        <v>0.30380000000000001</v>
      </c>
      <c r="Z7" s="90">
        <v>0.27</v>
      </c>
      <c r="AA7" s="90">
        <v>0.33450000000000002</v>
      </c>
      <c r="AB7" s="90">
        <v>0.33450000000000002</v>
      </c>
      <c r="AD7" s="108" t="s">
        <v>104</v>
      </c>
      <c r="AE7" s="109">
        <v>103.2</v>
      </c>
      <c r="AF7" s="109">
        <v>96</v>
      </c>
      <c r="AG7" s="109">
        <v>104</v>
      </c>
    </row>
    <row r="8" spans="2:33" x14ac:dyDescent="0.25">
      <c r="B8" s="20" t="s">
        <v>1</v>
      </c>
      <c r="C8" s="13">
        <v>1114120</v>
      </c>
      <c r="D8" s="15">
        <v>35939.354838709674</v>
      </c>
      <c r="E8" s="15">
        <v>8.3685471761336103</v>
      </c>
      <c r="F8" s="15">
        <v>8.3685471761336103</v>
      </c>
      <c r="G8" s="14"/>
      <c r="H8" s="19"/>
      <c r="I8" s="30"/>
      <c r="J8" s="18" t="s">
        <v>89</v>
      </c>
      <c r="K8" s="15">
        <v>83.35</v>
      </c>
      <c r="L8" s="15">
        <v>78.5</v>
      </c>
      <c r="M8" s="15">
        <v>99</v>
      </c>
      <c r="N8" s="15">
        <v>75.430000000000007</v>
      </c>
      <c r="O8" s="15">
        <v>172.05</v>
      </c>
      <c r="P8" s="15">
        <v>74.02</v>
      </c>
      <c r="Q8" s="15">
        <v>120.93</v>
      </c>
      <c r="R8" s="15">
        <v>160.28</v>
      </c>
      <c r="S8" s="15">
        <v>130.93</v>
      </c>
      <c r="T8" s="15">
        <v>171.53</v>
      </c>
      <c r="U8" s="85">
        <v>119.5</v>
      </c>
      <c r="V8" s="85">
        <v>113.28</v>
      </c>
      <c r="W8" s="85">
        <v>111.78</v>
      </c>
      <c r="X8" s="85">
        <v>103</v>
      </c>
      <c r="Y8" s="85">
        <v>147.94999999999999</v>
      </c>
      <c r="Z8" s="85">
        <v>96</v>
      </c>
      <c r="AA8" s="85">
        <v>91.92</v>
      </c>
      <c r="AB8" s="85">
        <v>91.92</v>
      </c>
      <c r="AD8" s="108" t="s">
        <v>105</v>
      </c>
      <c r="AE8" s="110">
        <v>0.05</v>
      </c>
      <c r="AF8" s="110">
        <v>0.05</v>
      </c>
      <c r="AG8" s="110">
        <v>0.05</v>
      </c>
    </row>
    <row r="9" spans="2:33" x14ac:dyDescent="0.25">
      <c r="B9" s="20" t="s">
        <v>10</v>
      </c>
      <c r="C9" s="13">
        <v>269124</v>
      </c>
      <c r="D9" s="15">
        <v>8681.4193548387102</v>
      </c>
      <c r="E9" s="15">
        <v>2.0214850197732575</v>
      </c>
      <c r="F9" s="15">
        <v>2.0214850197732575</v>
      </c>
      <c r="G9" s="14"/>
      <c r="H9" s="19"/>
      <c r="I9" s="30"/>
      <c r="J9" s="18" t="s">
        <v>90</v>
      </c>
      <c r="K9" s="89">
        <v>3.4299999999999997E-2</v>
      </c>
      <c r="L9" s="89">
        <v>3.1800000000000002E-2</v>
      </c>
      <c r="M9" s="89">
        <v>3.4099999999999998E-2</v>
      </c>
      <c r="N9" s="89">
        <v>4.5199999999999997E-2</v>
      </c>
      <c r="O9" s="89">
        <v>5.8500000000000003E-2</v>
      </c>
      <c r="P9" s="89">
        <v>3.5099999999999999E-2</v>
      </c>
      <c r="Q9" s="89">
        <v>5.6899999999999999E-2</v>
      </c>
      <c r="R9" s="89">
        <v>7.1999999999999995E-2</v>
      </c>
      <c r="S9" s="89">
        <v>5.5899999999999998E-2</v>
      </c>
      <c r="T9" s="89">
        <v>7.3099999999999998E-2</v>
      </c>
      <c r="U9" s="90">
        <v>5.62E-2</v>
      </c>
      <c r="V9" s="90">
        <v>4.7600000000000003E-2</v>
      </c>
      <c r="W9" s="90">
        <v>4.3499999999999997E-2</v>
      </c>
      <c r="X9" s="90">
        <v>0.05</v>
      </c>
      <c r="Y9" s="90">
        <v>5.9400000000000001E-2</v>
      </c>
      <c r="Z9" s="90">
        <v>0.05</v>
      </c>
      <c r="AA9" s="90">
        <v>4.7399999999999998E-2</v>
      </c>
      <c r="AB9" s="90">
        <v>4.7399999999999998E-2</v>
      </c>
      <c r="AD9" s="108" t="s">
        <v>106</v>
      </c>
      <c r="AE9" s="109">
        <v>1456</v>
      </c>
      <c r="AF9" s="109">
        <v>1440</v>
      </c>
      <c r="AG9" s="109">
        <v>1640</v>
      </c>
    </row>
    <row r="10" spans="2:33" x14ac:dyDescent="0.25">
      <c r="B10" s="20" t="s">
        <v>9</v>
      </c>
      <c r="C10" s="13">
        <v>600000</v>
      </c>
      <c r="D10" s="15">
        <v>19354.83870967742</v>
      </c>
      <c r="E10" s="15">
        <v>4.5068110308406331</v>
      </c>
      <c r="F10" s="15">
        <v>4.5068110308406331</v>
      </c>
      <c r="G10" s="14"/>
      <c r="H10" s="19"/>
      <c r="I10" s="30"/>
      <c r="J10" s="18" t="s">
        <v>31</v>
      </c>
      <c r="K10" s="93">
        <v>4723</v>
      </c>
      <c r="L10" s="93">
        <v>3408</v>
      </c>
      <c r="M10" s="93">
        <v>5610</v>
      </c>
      <c r="N10" s="93">
        <v>4354</v>
      </c>
      <c r="O10" s="93">
        <v>5661</v>
      </c>
      <c r="P10" s="93">
        <v>3846</v>
      </c>
      <c r="Q10" s="93">
        <v>3807</v>
      </c>
      <c r="R10" s="93">
        <v>4261</v>
      </c>
      <c r="S10" s="93">
        <v>5392</v>
      </c>
      <c r="T10" s="93">
        <v>8471</v>
      </c>
      <c r="U10" s="94">
        <f>4754+1330</f>
        <v>6084</v>
      </c>
      <c r="V10" s="94">
        <v>4961</v>
      </c>
      <c r="W10" s="94">
        <v>5408</v>
      </c>
      <c r="X10" s="94">
        <v>5394</v>
      </c>
      <c r="Y10" s="94">
        <v>5688</v>
      </c>
      <c r="Z10" s="94">
        <v>4943</v>
      </c>
      <c r="AA10" s="94">
        <v>3401</v>
      </c>
      <c r="AB10" s="94">
        <v>3401</v>
      </c>
      <c r="AD10" s="108" t="s">
        <v>107</v>
      </c>
      <c r="AE10" s="67">
        <v>607</v>
      </c>
      <c r="AF10" s="67">
        <v>607</v>
      </c>
      <c r="AG10" s="67">
        <v>607</v>
      </c>
    </row>
    <row r="11" spans="2:33" x14ac:dyDescent="0.25">
      <c r="B11" s="18" t="s">
        <v>15</v>
      </c>
      <c r="C11" s="13">
        <v>107550</v>
      </c>
      <c r="D11" s="15">
        <v>3469.3548387096776</v>
      </c>
      <c r="E11" s="15">
        <v>0.80784587727818347</v>
      </c>
      <c r="F11" s="15">
        <v>0.80784587727818347</v>
      </c>
      <c r="G11" s="14"/>
      <c r="H11" s="19"/>
      <c r="I11" s="30"/>
      <c r="J11" s="18" t="s">
        <v>91</v>
      </c>
      <c r="K11" s="89">
        <f t="shared" ref="K11:U11" si="0">+K10/K4</f>
        <v>3.5476114164433852E-2</v>
      </c>
      <c r="L11" s="89">
        <f t="shared" si="0"/>
        <v>2.7664570812960511E-2</v>
      </c>
      <c r="M11" s="89">
        <f t="shared" si="0"/>
        <v>3.8077262498674762E-2</v>
      </c>
      <c r="N11" s="89">
        <f t="shared" si="0"/>
        <v>4.9781232406781957E-2</v>
      </c>
      <c r="O11" s="89">
        <f t="shared" si="0"/>
        <v>2.5407069637182915E-2</v>
      </c>
      <c r="P11" s="89">
        <f t="shared" si="0"/>
        <v>2.8106369527433697E-2</v>
      </c>
      <c r="Q11" s="89">
        <f t="shared" si="0"/>
        <v>3.1943252271142589E-3</v>
      </c>
      <c r="R11" s="89">
        <f t="shared" si="0"/>
        <v>3.4280603514007232E-2</v>
      </c>
      <c r="S11" s="89">
        <f t="shared" si="0"/>
        <v>3.5595700651987541E-2</v>
      </c>
      <c r="T11" s="89">
        <f t="shared" si="0"/>
        <v>5.5048315928335166E-2</v>
      </c>
      <c r="U11" s="90">
        <f t="shared" si="0"/>
        <v>4.4715566661766869E-2</v>
      </c>
      <c r="V11" s="90">
        <v>2.8799999999999999E-2</v>
      </c>
      <c r="W11" s="90">
        <v>3.2199999999999999E-2</v>
      </c>
      <c r="X11" s="90">
        <v>3.5000000000000003E-2</v>
      </c>
      <c r="Y11" s="90">
        <v>3.5299999999999998E-2</v>
      </c>
      <c r="Z11" s="90">
        <v>3.5000000000000003E-2</v>
      </c>
      <c r="AA11" s="90">
        <v>2.8000000000000001E-2</v>
      </c>
      <c r="AB11" s="90">
        <v>2.8000000000000001E-2</v>
      </c>
      <c r="AD11" s="108" t="s">
        <v>108</v>
      </c>
      <c r="AE11" s="111">
        <v>3.9388549547485909</v>
      </c>
      <c r="AF11" s="111">
        <v>5.1259250626912456</v>
      </c>
      <c r="AG11" s="111">
        <v>4.362289979453398</v>
      </c>
    </row>
    <row r="12" spans="2:33" x14ac:dyDescent="0.25">
      <c r="B12" s="18" t="s">
        <v>16</v>
      </c>
      <c r="C12" s="13">
        <v>80566</v>
      </c>
      <c r="D12" s="15">
        <v>2598.9032258064517</v>
      </c>
      <c r="E12" s="15">
        <v>0.60515956251784409</v>
      </c>
      <c r="F12" s="15">
        <v>0.60515956251784409</v>
      </c>
      <c r="G12" s="14"/>
      <c r="H12" s="19"/>
      <c r="I12" s="30"/>
      <c r="J12" s="42" t="s">
        <v>0</v>
      </c>
      <c r="K12" s="43">
        <v>7.4919574079316709</v>
      </c>
      <c r="L12" s="43">
        <v>8.4742067856045686</v>
      </c>
      <c r="M12" s="43">
        <v>8.5710288910720163</v>
      </c>
      <c r="N12" s="43">
        <v>11.364001194566644</v>
      </c>
      <c r="O12" s="43">
        <v>6.8141213220113821</v>
      </c>
      <c r="P12" s="43">
        <v>8.9231438413982236</v>
      </c>
      <c r="Q12" s="43">
        <v>9.5287060223162463</v>
      </c>
      <c r="R12" s="43">
        <v>9.9681655399965372</v>
      </c>
      <c r="S12" s="43">
        <v>9.1683685090856972</v>
      </c>
      <c r="T12" s="43">
        <v>7.9161748433031898</v>
      </c>
      <c r="U12" s="96">
        <v>9.1080197377898742</v>
      </c>
      <c r="V12" s="96">
        <v>7.36</v>
      </c>
      <c r="W12" s="96">
        <v>8.5556407139784927</v>
      </c>
      <c r="X12" s="96">
        <v>7.4</v>
      </c>
      <c r="Y12" s="96">
        <v>9.7561780070028643</v>
      </c>
      <c r="Z12" s="96">
        <v>7.66</v>
      </c>
      <c r="AA12" s="96">
        <v>12.651269387780516</v>
      </c>
      <c r="AB12" s="96">
        <v>8.0432538683317727</v>
      </c>
      <c r="AD12" s="108" t="s">
        <v>109</v>
      </c>
      <c r="AE12" s="112"/>
      <c r="AF12" s="112"/>
      <c r="AG12" s="112"/>
    </row>
    <row r="13" spans="2:33" x14ac:dyDescent="0.25">
      <c r="B13" s="18" t="s">
        <v>17</v>
      </c>
      <c r="C13" s="13">
        <v>4500</v>
      </c>
      <c r="D13" s="15">
        <v>145.16129032258064</v>
      </c>
      <c r="E13" s="15">
        <v>3.3801082731304749E-2</v>
      </c>
      <c r="F13" s="15">
        <v>3.3801082731304749E-2</v>
      </c>
      <c r="G13" s="14"/>
      <c r="H13" s="19"/>
      <c r="I13" s="30"/>
      <c r="J13" s="18" t="s">
        <v>2</v>
      </c>
      <c r="K13" s="15">
        <v>7.9147240575023465</v>
      </c>
      <c r="L13" s="15">
        <v>7.2540826510865219</v>
      </c>
      <c r="M13" s="15">
        <v>7.8715380176181311</v>
      </c>
      <c r="N13" s="15">
        <v>11.237446259837499</v>
      </c>
      <c r="O13" s="15">
        <v>7.0289268504640505</v>
      </c>
      <c r="P13" s="15">
        <v>8.7609463213953163</v>
      </c>
      <c r="Q13" s="15">
        <v>9.6873274678258667</v>
      </c>
      <c r="R13" s="15">
        <v>10.321811542623681</v>
      </c>
      <c r="S13" s="15">
        <v>11.147290210373409</v>
      </c>
      <c r="T13" s="15">
        <v>9.4154102780076965</v>
      </c>
      <c r="U13" s="85">
        <v>8.7149749635607936</v>
      </c>
      <c r="V13" s="85">
        <v>8.09</v>
      </c>
      <c r="W13" s="85">
        <v>10.200475192764932</v>
      </c>
      <c r="X13" s="85">
        <v>8.8000000000000007</v>
      </c>
      <c r="Y13" s="85">
        <v>10.14120176966863</v>
      </c>
      <c r="Z13" s="85">
        <v>9.69</v>
      </c>
      <c r="AA13" s="85">
        <v>9.8577172417484498</v>
      </c>
      <c r="AB13" s="85">
        <v>10.453366471296912</v>
      </c>
      <c r="AD13" s="108" t="s">
        <v>110</v>
      </c>
      <c r="AE13" s="112">
        <v>154105.70000000001</v>
      </c>
      <c r="AF13" s="112">
        <v>118417.65000000001</v>
      </c>
      <c r="AG13" s="112">
        <v>139147.10000000003</v>
      </c>
    </row>
    <row r="14" spans="2:33" x14ac:dyDescent="0.25">
      <c r="B14" s="18" t="s">
        <v>18</v>
      </c>
      <c r="C14" s="13">
        <v>358180</v>
      </c>
      <c r="D14" s="15">
        <v>11554.193548387097</v>
      </c>
      <c r="E14" s="15">
        <v>2.6904159583774967</v>
      </c>
      <c r="F14" s="15">
        <v>2.6904159583774967</v>
      </c>
      <c r="G14" s="14"/>
      <c r="H14" s="19"/>
      <c r="I14" s="30"/>
      <c r="J14" s="18" t="s">
        <v>1</v>
      </c>
      <c r="K14" s="15">
        <v>8.3685471761336103</v>
      </c>
      <c r="L14" s="15">
        <v>9.1018386183852265</v>
      </c>
      <c r="M14" s="15">
        <v>8.6873919192854352</v>
      </c>
      <c r="N14" s="15">
        <v>13.9</v>
      </c>
      <c r="O14" s="15">
        <v>7.1400014361883564</v>
      </c>
      <c r="P14" s="15">
        <v>9.7062782073105609</v>
      </c>
      <c r="Q14" s="15">
        <v>9.8326201600961998</v>
      </c>
      <c r="R14" s="15">
        <v>10.108835887906045</v>
      </c>
      <c r="S14" s="15">
        <v>9.6</v>
      </c>
      <c r="T14" s="15">
        <v>8.8165332710869713</v>
      </c>
      <c r="U14" s="85">
        <v>10.407684979895807</v>
      </c>
      <c r="V14" s="85">
        <v>8.06</v>
      </c>
      <c r="W14" s="85">
        <v>9.3992275200136532</v>
      </c>
      <c r="X14" s="85">
        <v>8.1</v>
      </c>
      <c r="Y14" s="85">
        <v>9.7817878710056654</v>
      </c>
      <c r="Z14" s="85">
        <v>8.85</v>
      </c>
      <c r="AA14" s="85">
        <v>13.146265792368853</v>
      </c>
      <c r="AB14" s="85">
        <v>8.1869647244886981</v>
      </c>
      <c r="AD14" s="108" t="s">
        <v>111</v>
      </c>
      <c r="AE14" s="110">
        <v>0</v>
      </c>
      <c r="AF14" s="110">
        <v>0</v>
      </c>
      <c r="AG14" s="110">
        <v>0</v>
      </c>
    </row>
    <row r="15" spans="2:33" x14ac:dyDescent="0.25">
      <c r="B15" s="18" t="s">
        <v>20</v>
      </c>
      <c r="C15" s="13">
        <v>151889</v>
      </c>
      <c r="D15" s="15">
        <v>4899.6451612903229</v>
      </c>
      <c r="E15" s="15">
        <v>1.1408917011055881</v>
      </c>
      <c r="F15" s="15">
        <v>1.1408917011055881</v>
      </c>
      <c r="G15" s="14"/>
      <c r="H15" s="19"/>
      <c r="I15" s="30"/>
      <c r="J15" s="18" t="s">
        <v>10</v>
      </c>
      <c r="K15" s="15">
        <v>2.0214850197732575</v>
      </c>
      <c r="L15" s="15">
        <v>2.41732175539657</v>
      </c>
      <c r="M15" s="15">
        <v>3.5624638825966009</v>
      </c>
      <c r="N15" s="15">
        <v>4.6759715115063933</v>
      </c>
      <c r="O15" s="15">
        <v>1.0964176076692458</v>
      </c>
      <c r="P15" s="15">
        <v>0.65889924319617188</v>
      </c>
      <c r="Q15" s="15">
        <v>0.53357670769811349</v>
      </c>
      <c r="R15" s="15">
        <v>0.55013892252788754</v>
      </c>
      <c r="S15" s="15">
        <v>0.42714180624732012</v>
      </c>
      <c r="T15" s="15">
        <v>0.79008645260469035</v>
      </c>
      <c r="U15" s="85">
        <v>0.80287859759011038</v>
      </c>
      <c r="V15" s="85">
        <v>0.51</v>
      </c>
      <c r="W15" s="85">
        <v>0.55916548612144801</v>
      </c>
      <c r="X15" s="85">
        <v>1.0900000000000001</v>
      </c>
      <c r="Y15" s="85">
        <v>0.74413332707631896</v>
      </c>
      <c r="Z15" s="85">
        <v>1.19</v>
      </c>
      <c r="AA15" s="85">
        <v>2.3936177880803489</v>
      </c>
      <c r="AB15" s="85">
        <v>1.3836594007918166</v>
      </c>
      <c r="AD15" s="113" t="s">
        <v>112</v>
      </c>
      <c r="AE15" s="114">
        <v>5393.6995000000006</v>
      </c>
      <c r="AF15" s="114">
        <v>4144.6177500000003</v>
      </c>
      <c r="AG15" s="114">
        <v>4870.1485000000021</v>
      </c>
    </row>
    <row r="16" spans="2:33" x14ac:dyDescent="0.25">
      <c r="B16" s="18" t="s">
        <v>23</v>
      </c>
      <c r="C16" s="13">
        <v>3818700</v>
      </c>
      <c r="D16" s="15">
        <v>123183.87096774194</v>
      </c>
      <c r="E16" s="15">
        <v>28.683598805785209</v>
      </c>
      <c r="F16" s="15">
        <v>28.683598805785209</v>
      </c>
      <c r="G16" s="14"/>
      <c r="H16" s="19"/>
      <c r="I16" s="30"/>
      <c r="J16" s="18" t="s">
        <v>9</v>
      </c>
      <c r="K16" s="15">
        <v>4.5068110308406331</v>
      </c>
      <c r="L16" s="15">
        <v>4.8705230304507943</v>
      </c>
      <c r="M16" s="15">
        <v>4.0724344918368729</v>
      </c>
      <c r="N16" s="15">
        <v>6.8600687744761544</v>
      </c>
      <c r="O16" s="15">
        <v>2.692853167692943</v>
      </c>
      <c r="P16" s="15">
        <v>4.3847690370411385</v>
      </c>
      <c r="Q16" s="15">
        <v>4.7971293977683755</v>
      </c>
      <c r="R16" s="15">
        <v>4.8271208890880875</v>
      </c>
      <c r="S16" s="15">
        <v>3.9609459182478721</v>
      </c>
      <c r="T16" s="15">
        <v>3.8990621195977511</v>
      </c>
      <c r="U16" s="85">
        <v>4.4098055524905364</v>
      </c>
      <c r="V16" s="85">
        <v>3.49</v>
      </c>
      <c r="W16" s="85">
        <v>3.5753030933403185</v>
      </c>
      <c r="X16" s="85">
        <v>3.89</v>
      </c>
      <c r="Y16" s="85">
        <v>4.1741034707452949</v>
      </c>
      <c r="Z16" s="85">
        <v>4.25</v>
      </c>
      <c r="AA16" s="85">
        <v>5.6159373281451108</v>
      </c>
      <c r="AB16" s="85">
        <v>3.3593187469547119</v>
      </c>
      <c r="AD16" s="108" t="s">
        <v>113</v>
      </c>
      <c r="AE16" s="115">
        <v>3.5000000000000003E-2</v>
      </c>
      <c r="AF16" s="115">
        <v>3.5000000000000003E-2</v>
      </c>
      <c r="AG16" s="115">
        <v>3.5000000000000003E-2</v>
      </c>
    </row>
    <row r="17" spans="2:33" x14ac:dyDescent="0.25">
      <c r="B17" s="18" t="s">
        <v>19</v>
      </c>
      <c r="C17" s="13">
        <v>68470</v>
      </c>
      <c r="D17" s="15">
        <v>2208.7096774193546</v>
      </c>
      <c r="E17" s="15">
        <v>0.51430225213609693</v>
      </c>
      <c r="F17" s="15">
        <v>0.51430225213609693</v>
      </c>
      <c r="G17" s="14"/>
      <c r="H17" s="19"/>
      <c r="I17" s="30"/>
      <c r="J17" s="18" t="s">
        <v>15</v>
      </c>
      <c r="K17" s="15">
        <v>0.80784587727818347</v>
      </c>
      <c r="L17" s="15">
        <v>3.0392063710012955</v>
      </c>
      <c r="M17" s="15">
        <v>0.5487605477750187</v>
      </c>
      <c r="N17" s="15">
        <v>0.77175773712856732</v>
      </c>
      <c r="O17" s="15">
        <v>1.0333824031021668</v>
      </c>
      <c r="P17" s="15">
        <v>1.7977553051868669</v>
      </c>
      <c r="Q17" s="15">
        <v>0.83070290738022379</v>
      </c>
      <c r="R17" s="15">
        <v>0.24618316534349244</v>
      </c>
      <c r="S17" s="15">
        <v>1.5918381487785156</v>
      </c>
      <c r="T17" s="15">
        <v>1.5057398093462595</v>
      </c>
      <c r="U17" s="85">
        <v>6.3133716159822842E-2</v>
      </c>
      <c r="V17" s="85">
        <v>7.0000000000000007E-2</v>
      </c>
      <c r="W17" s="85">
        <v>0.10725909280020957</v>
      </c>
      <c r="X17" s="85">
        <v>0.13</v>
      </c>
      <c r="Y17" s="85">
        <v>3.9455216140140054E-2</v>
      </c>
      <c r="Z17" s="85">
        <v>0.14000000000000001</v>
      </c>
      <c r="AA17" s="85">
        <v>0.11984009119881084</v>
      </c>
      <c r="AB17" s="85">
        <v>0.52885275130629894</v>
      </c>
      <c r="AD17" s="108" t="s">
        <v>114</v>
      </c>
      <c r="AE17" s="112">
        <v>2078198.7475429571</v>
      </c>
      <c r="AF17" s="112">
        <v>1678113.1644583335</v>
      </c>
      <c r="AG17" s="112">
        <v>1917822.0732296247</v>
      </c>
    </row>
    <row r="18" spans="2:33" x14ac:dyDescent="0.25">
      <c r="B18" s="27" t="s">
        <v>8</v>
      </c>
      <c r="C18" s="28">
        <f>SUM(C6:C17)</f>
        <v>8635176</v>
      </c>
      <c r="D18" s="28">
        <f t="shared" ref="D18" si="1">SUM(D6:D17)</f>
        <v>278554.06451612903</v>
      </c>
      <c r="E18" s="29">
        <f>SUM(E6:E17)-E16</f>
        <v>36.095941126328029</v>
      </c>
      <c r="F18" s="29">
        <f>SUM(F6:F17)-F16</f>
        <v>36.095941126328029</v>
      </c>
      <c r="G18" s="14"/>
      <c r="H18" s="19"/>
      <c r="I18" s="30"/>
      <c r="J18" s="18" t="s">
        <v>16</v>
      </c>
      <c r="K18" s="15">
        <v>0.60515956251784409</v>
      </c>
      <c r="L18" s="15">
        <v>0.65399759745216446</v>
      </c>
      <c r="M18" s="15">
        <v>0.35491266596358351</v>
      </c>
      <c r="N18" s="15">
        <v>2.13</v>
      </c>
      <c r="O18" s="15">
        <v>2.0196398757697073E-2</v>
      </c>
      <c r="P18" s="15">
        <v>3.2885767777808536E-2</v>
      </c>
      <c r="Q18" s="15">
        <v>2.5584690121431337E-2</v>
      </c>
      <c r="R18" s="15">
        <v>0.19067127511897944</v>
      </c>
      <c r="S18" s="15">
        <v>0.32</v>
      </c>
      <c r="T18" s="15">
        <v>9.9166146575102809E-2</v>
      </c>
      <c r="U18" s="85">
        <v>0.17639222209962147</v>
      </c>
      <c r="V18" s="85">
        <v>0.08</v>
      </c>
      <c r="W18" s="85">
        <v>3.2475669764507893E-2</v>
      </c>
      <c r="X18" s="85">
        <v>0.32</v>
      </c>
      <c r="Y18" s="85">
        <v>4.3480244486930157E-2</v>
      </c>
      <c r="Z18" s="85">
        <v>0.35</v>
      </c>
      <c r="AA18" s="85">
        <v>0.26126644150267947</v>
      </c>
      <c r="AB18" s="85">
        <v>5.4069035070032981E-2</v>
      </c>
      <c r="AD18" s="116" t="s">
        <v>115</v>
      </c>
      <c r="AE18" s="117">
        <v>13.485541076955343</v>
      </c>
      <c r="AF18" s="117">
        <v>14.171140572865053</v>
      </c>
      <c r="AG18" s="117">
        <v>13.782695242873363</v>
      </c>
    </row>
    <row r="19" spans="2:33" x14ac:dyDescent="0.25">
      <c r="B19" s="26" t="s">
        <v>30</v>
      </c>
      <c r="C19" s="14"/>
      <c r="D19" s="14"/>
      <c r="E19" s="16"/>
      <c r="F19" s="15">
        <v>16.41</v>
      </c>
      <c r="G19" s="14"/>
      <c r="H19" s="19"/>
      <c r="I19" s="30"/>
      <c r="J19" s="18" t="s">
        <v>17</v>
      </c>
      <c r="K19" s="15">
        <v>3.3801082731304749E-2</v>
      </c>
      <c r="L19" s="15">
        <v>1.2988061414535452</v>
      </c>
      <c r="M19" s="15">
        <v>0.27353185003504332</v>
      </c>
      <c r="N19" s="15">
        <v>2.5548039460944945</v>
      </c>
      <c r="O19" s="15">
        <v>1.7454176615263093</v>
      </c>
      <c r="P19" s="15">
        <v>3.045046705463589</v>
      </c>
      <c r="Q19" s="15">
        <v>1.4503321212586389</v>
      </c>
      <c r="R19" s="15">
        <v>6.01</v>
      </c>
      <c r="S19" s="15">
        <v>1.31</v>
      </c>
      <c r="T19" s="15">
        <v>3.99</v>
      </c>
      <c r="U19" s="85">
        <v>3.5348707321727306</v>
      </c>
      <c r="V19" s="85">
        <v>2.0099999999999998</v>
      </c>
      <c r="W19" s="85">
        <v>0.40189982072238523</v>
      </c>
      <c r="X19" s="85">
        <v>3.57</v>
      </c>
      <c r="Y19" s="85">
        <v>1.2593742242464414</v>
      </c>
      <c r="Z19" s="85">
        <v>0.71</v>
      </c>
      <c r="AA19" s="85">
        <v>2.2567126016076209</v>
      </c>
      <c r="AB19" s="85">
        <v>0.90241699434563172</v>
      </c>
      <c r="AD19" s="108" t="s">
        <v>116</v>
      </c>
      <c r="AE19" s="114">
        <v>44095.244613636365</v>
      </c>
      <c r="AF19" s="114">
        <v>41311.611988636367</v>
      </c>
      <c r="AG19" s="114">
        <v>40985.145818181831</v>
      </c>
    </row>
    <row r="20" spans="2:33" x14ac:dyDescent="0.25">
      <c r="B20" s="26" t="s">
        <v>31</v>
      </c>
      <c r="C20" s="14"/>
      <c r="D20" s="14"/>
      <c r="E20" s="16"/>
      <c r="F20" s="14">
        <v>14.4</v>
      </c>
      <c r="G20" s="14"/>
      <c r="H20" s="19"/>
      <c r="I20" s="30"/>
      <c r="J20" s="18" t="s">
        <v>18</v>
      </c>
      <c r="K20" s="15">
        <v>2.6904159583774967</v>
      </c>
      <c r="L20" s="15">
        <v>2.5408544545255705</v>
      </c>
      <c r="M20" s="15">
        <v>2.8086223212034969</v>
      </c>
      <c r="N20" s="15">
        <v>1.3300530008913518</v>
      </c>
      <c r="O20" s="15">
        <v>2.0743945568461304</v>
      </c>
      <c r="P20" s="15">
        <v>2.0615722422488418</v>
      </c>
      <c r="Q20" s="15">
        <v>3.0197929558951926</v>
      </c>
      <c r="R20" s="15">
        <v>4.3194686755856564</v>
      </c>
      <c r="S20" s="15">
        <v>3.6810390733583556</v>
      </c>
      <c r="T20" s="15">
        <v>4.4486349253550541</v>
      </c>
      <c r="U20" s="85">
        <v>3.906132261636909</v>
      </c>
      <c r="V20" s="85">
        <v>2.69</v>
      </c>
      <c r="W20" s="85">
        <v>2.8480447322854756</v>
      </c>
      <c r="X20" s="85">
        <f>1.54+1.95</f>
        <v>3.49</v>
      </c>
      <c r="Y20" s="85">
        <v>3.1896424094627167</v>
      </c>
      <c r="Z20" s="85">
        <v>1.54</v>
      </c>
      <c r="AA20" s="85">
        <v>4.4589706680512631</v>
      </c>
      <c r="AB20" s="85">
        <v>1.4639281226963579</v>
      </c>
      <c r="AD20" s="108" t="s">
        <v>117</v>
      </c>
      <c r="AE20" s="114">
        <v>1940190.763</v>
      </c>
      <c r="AF20" s="114">
        <v>1817710.9275</v>
      </c>
      <c r="AG20" s="114">
        <v>1803346.4160000007</v>
      </c>
    </row>
    <row r="21" spans="2:33" x14ac:dyDescent="0.25">
      <c r="B21" s="26" t="s">
        <v>36</v>
      </c>
      <c r="C21" s="14"/>
      <c r="D21" s="14"/>
      <c r="E21" s="16"/>
      <c r="F21" s="15">
        <v>28.68</v>
      </c>
      <c r="G21" s="14"/>
      <c r="H21" s="19"/>
      <c r="I21" s="30"/>
      <c r="J21" s="18" t="s">
        <v>20</v>
      </c>
      <c r="K21" s="15">
        <v>1.1408917011055881</v>
      </c>
      <c r="L21" s="15">
        <v>0.74803927963178529</v>
      </c>
      <c r="M21" s="15">
        <v>1.0464527670224029</v>
      </c>
      <c r="N21" s="15">
        <v>1.2933744998438192</v>
      </c>
      <c r="O21" s="15">
        <v>2.0632326804660432</v>
      </c>
      <c r="P21" s="15">
        <v>2.165915129433631</v>
      </c>
      <c r="Q21" s="15">
        <v>4.9865760329019118</v>
      </c>
      <c r="R21" s="15">
        <v>5.1287113570368295</v>
      </c>
      <c r="S21" s="15">
        <v>2.77</v>
      </c>
      <c r="T21" s="15">
        <v>4.4818679314877592</v>
      </c>
      <c r="U21" s="85">
        <v>4.4338977901589764</v>
      </c>
      <c r="V21" s="85">
        <v>2.62</v>
      </c>
      <c r="W21" s="85">
        <v>5.5271444757336434</v>
      </c>
      <c r="X21" s="85">
        <v>2.86</v>
      </c>
      <c r="Y21" s="85">
        <v>2.5244878407651576</v>
      </c>
      <c r="Z21" s="85">
        <v>2.37</v>
      </c>
      <c r="AA21" s="85">
        <v>2.6337826793545069</v>
      </c>
      <c r="AB21" s="85">
        <v>2.3414501656136646</v>
      </c>
      <c r="AD21" s="118" t="s">
        <v>118</v>
      </c>
      <c r="AE21" s="67">
        <v>12.59</v>
      </c>
      <c r="AF21" s="67">
        <v>15.35</v>
      </c>
      <c r="AG21" s="67">
        <v>12.96</v>
      </c>
    </row>
    <row r="22" spans="2:33" ht="16.5" thickBot="1" x14ac:dyDescent="0.3">
      <c r="B22" s="23" t="s">
        <v>33</v>
      </c>
      <c r="C22" s="24"/>
      <c r="D22" s="24"/>
      <c r="E22" s="25"/>
      <c r="F22" s="25">
        <f>+F21+F20+F19+F18</f>
        <v>95.585941126328024</v>
      </c>
      <c r="G22" s="21"/>
      <c r="H22" s="22"/>
      <c r="J22" s="18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85"/>
      <c r="V22" s="85"/>
      <c r="W22" s="85"/>
      <c r="X22" s="85"/>
      <c r="Y22" s="85">
        <v>0</v>
      </c>
      <c r="Z22" s="85">
        <v>0</v>
      </c>
      <c r="AA22" s="85">
        <v>0</v>
      </c>
      <c r="AB22" s="85">
        <v>0</v>
      </c>
      <c r="AD22" s="119" t="s">
        <v>119</v>
      </c>
      <c r="AE22" s="120">
        <v>7.4020553732352719</v>
      </c>
      <c r="AF22" s="120">
        <v>9.1413737732508622</v>
      </c>
      <c r="AG22" s="121">
        <v>7.7795369073448155</v>
      </c>
    </row>
    <row r="23" spans="2:33" ht="15.75" thickBot="1" x14ac:dyDescent="0.3">
      <c r="J23" s="18" t="s">
        <v>19</v>
      </c>
      <c r="K23" s="15">
        <v>0.51430225213609693</v>
      </c>
      <c r="L23" s="15">
        <v>6.3994126798628352</v>
      </c>
      <c r="M23" s="15">
        <v>2.8159391285071638</v>
      </c>
      <c r="N23" s="15">
        <v>2.9611715533985468</v>
      </c>
      <c r="O23" s="15">
        <v>1.7474732061109814</v>
      </c>
      <c r="P23" s="15">
        <v>1.7298352328030995</v>
      </c>
      <c r="Q23" s="15">
        <v>0</v>
      </c>
      <c r="R23" s="15">
        <v>1.2590740319038094</v>
      </c>
      <c r="S23" s="15">
        <v>0.97900719788373525</v>
      </c>
      <c r="T23" s="15">
        <v>3.375749497215939</v>
      </c>
      <c r="U23" s="85">
        <v>0.51404368357790098</v>
      </c>
      <c r="V23" s="85">
        <v>0.28999999999999998</v>
      </c>
      <c r="W23" s="85">
        <v>1.7451531105673208</v>
      </c>
      <c r="X23" s="85">
        <v>0.65</v>
      </c>
      <c r="Y23" s="85">
        <v>0</v>
      </c>
      <c r="Z23" s="85">
        <v>0</v>
      </c>
      <c r="AA23" s="85">
        <v>0.23555179989746738</v>
      </c>
      <c r="AB23" s="85">
        <v>0.25719284257748953</v>
      </c>
      <c r="AD23" s="122" t="s">
        <v>120</v>
      </c>
      <c r="AE23" s="120">
        <v>8.7578138398389189</v>
      </c>
      <c r="AF23" s="120">
        <v>11.561440135221154</v>
      </c>
      <c r="AG23" s="120">
        <v>10.02544278912446</v>
      </c>
    </row>
    <row r="24" spans="2:33" ht="15.75" thickBot="1" x14ac:dyDescent="0.3">
      <c r="B24" s="168" t="s">
        <v>48</v>
      </c>
      <c r="C24" s="169"/>
      <c r="D24" s="169"/>
      <c r="E24" s="169"/>
      <c r="F24" s="170"/>
      <c r="G24" s="12" t="s">
        <v>0</v>
      </c>
      <c r="H24" s="12" t="s">
        <v>2</v>
      </c>
      <c r="J24" s="27" t="s">
        <v>8</v>
      </c>
      <c r="K24" s="29">
        <f t="shared" ref="K24:Y24" si="2">SUM(K12:K23)</f>
        <v>36.095941126328036</v>
      </c>
      <c r="L24" s="29">
        <f t="shared" si="2"/>
        <v>46.798289364850881</v>
      </c>
      <c r="M24" s="29">
        <f t="shared" si="2"/>
        <v>40.613076482915751</v>
      </c>
      <c r="N24" s="29">
        <f t="shared" si="2"/>
        <v>59.078648477743471</v>
      </c>
      <c r="O24" s="29">
        <f t="shared" si="2"/>
        <v>33.456417290835304</v>
      </c>
      <c r="P24" s="29">
        <f t="shared" si="2"/>
        <v>43.267047033255245</v>
      </c>
      <c r="Q24" s="29">
        <f t="shared" si="2"/>
        <v>44.692348463262206</v>
      </c>
      <c r="R24" s="29">
        <f t="shared" si="2"/>
        <v>52.930181287131006</v>
      </c>
      <c r="S24" s="29">
        <f t="shared" si="2"/>
        <v>44.95563086397491</v>
      </c>
      <c r="T24" s="29">
        <f t="shared" si="2"/>
        <v>48.738425274580415</v>
      </c>
      <c r="U24" s="86">
        <f t="shared" si="2"/>
        <v>46.071834237133082</v>
      </c>
      <c r="V24" s="86">
        <f t="shared" si="2"/>
        <v>35.269999999999989</v>
      </c>
      <c r="W24" s="86">
        <f t="shared" si="2"/>
        <v>42.951788908092389</v>
      </c>
      <c r="X24" s="86">
        <f t="shared" si="2"/>
        <v>40.300000000000004</v>
      </c>
      <c r="Y24" s="86">
        <f t="shared" si="2"/>
        <v>41.653844380600162</v>
      </c>
      <c r="Z24" s="86">
        <f t="shared" ref="Z24" si="3">SUM(Z12:Z23)</f>
        <v>36.75</v>
      </c>
      <c r="AA24" s="86">
        <f>SUM(AA12:AA23)</f>
        <v>53.630931819735622</v>
      </c>
      <c r="AB24" s="86">
        <f>SUM(AB12:AB23)</f>
        <v>36.974473123473388</v>
      </c>
      <c r="AD24" s="123" t="s">
        <v>121</v>
      </c>
      <c r="AE24" s="120">
        <v>8.1113158046717277</v>
      </c>
      <c r="AF24" s="120">
        <v>10.555858860566815</v>
      </c>
      <c r="AG24" s="120">
        <v>8.9832989692203409</v>
      </c>
    </row>
    <row r="25" spans="2:33" ht="15.75" thickBot="1" x14ac:dyDescent="0.3">
      <c r="B25" s="49" t="s">
        <v>55</v>
      </c>
      <c r="C25" s="50" t="s">
        <v>4</v>
      </c>
      <c r="D25" s="50" t="s">
        <v>3</v>
      </c>
      <c r="E25" s="50" t="s">
        <v>24</v>
      </c>
      <c r="F25" s="50" t="s">
        <v>38</v>
      </c>
      <c r="G25" s="50">
        <v>123190.05499999999</v>
      </c>
      <c r="H25" s="50">
        <v>115884.26000000002</v>
      </c>
      <c r="J25" s="26" t="s">
        <v>93</v>
      </c>
      <c r="K25" s="15">
        <v>16.41</v>
      </c>
      <c r="L25" s="15">
        <v>15.35</v>
      </c>
      <c r="M25" s="15">
        <v>12.96</v>
      </c>
      <c r="N25" s="15">
        <v>12.92</v>
      </c>
      <c r="O25" s="15">
        <v>7.37</v>
      </c>
      <c r="P25" s="15">
        <v>9.42</v>
      </c>
      <c r="Q25" s="15">
        <v>12.94</v>
      </c>
      <c r="R25" s="15">
        <v>14.76</v>
      </c>
      <c r="S25" s="15">
        <v>12.44</v>
      </c>
      <c r="T25" s="15">
        <v>12.34</v>
      </c>
      <c r="U25" s="85">
        <v>12.59</v>
      </c>
      <c r="V25" s="85">
        <v>10.75</v>
      </c>
      <c r="W25" s="85">
        <v>13.68</v>
      </c>
      <c r="X25" s="85">
        <v>12.59</v>
      </c>
      <c r="Y25" s="85">
        <v>11.91</v>
      </c>
      <c r="Z25" s="85">
        <v>15.35</v>
      </c>
      <c r="AA25" s="85">
        <v>11.15</v>
      </c>
      <c r="AB25" s="85">
        <v>8.9700000000000006</v>
      </c>
      <c r="AD25" s="123" t="s">
        <v>10</v>
      </c>
      <c r="AE25" s="121">
        <v>1.0925401634505838</v>
      </c>
      <c r="AF25" s="121">
        <v>1.4218038161259461</v>
      </c>
      <c r="AG25" s="121">
        <v>1.2099904824941849</v>
      </c>
    </row>
    <row r="26" spans="2:33" x14ac:dyDescent="0.25">
      <c r="B26" s="18" t="s">
        <v>0</v>
      </c>
      <c r="C26" s="13">
        <v>1262787</v>
      </c>
      <c r="D26" s="15">
        <v>43544.379310344826</v>
      </c>
      <c r="E26" s="15">
        <v>8.5710288910720163</v>
      </c>
      <c r="F26" s="15">
        <v>8.5710288910720163</v>
      </c>
      <c r="G26" s="14"/>
      <c r="H26" s="19"/>
      <c r="J26" s="26" t="s">
        <v>94</v>
      </c>
      <c r="K26" s="14">
        <v>14.4</v>
      </c>
      <c r="L26" s="14">
        <v>10.87</v>
      </c>
      <c r="M26" s="14">
        <v>12.77</v>
      </c>
      <c r="N26" s="14">
        <v>19.600000000000001</v>
      </c>
      <c r="O26" s="14">
        <v>9.58</v>
      </c>
      <c r="P26" s="14">
        <v>10.42</v>
      </c>
      <c r="Q26" s="14">
        <v>11.49</v>
      </c>
      <c r="R26" s="14">
        <v>13.32</v>
      </c>
      <c r="S26" s="14">
        <v>12.55</v>
      </c>
      <c r="T26" s="14">
        <v>19.920000000000002</v>
      </c>
      <c r="U26" s="19">
        <v>9.6</v>
      </c>
      <c r="V26" s="19">
        <v>10.66</v>
      </c>
      <c r="W26" s="19">
        <v>11.74</v>
      </c>
      <c r="X26" s="19">
        <v>13.5</v>
      </c>
      <c r="Y26" s="19">
        <v>11.66</v>
      </c>
      <c r="Z26" s="19">
        <v>14.2</v>
      </c>
      <c r="AA26" s="19">
        <v>10.56</v>
      </c>
      <c r="AB26" s="19">
        <v>17.39</v>
      </c>
      <c r="AD26" s="123" t="s">
        <v>122</v>
      </c>
      <c r="AE26" s="121">
        <v>25.363725181196504</v>
      </c>
      <c r="AF26" s="121">
        <v>32.680476585164776</v>
      </c>
      <c r="AG26" s="121">
        <v>27.998269148183802</v>
      </c>
    </row>
    <row r="27" spans="2:33" ht="15.75" thickBot="1" x14ac:dyDescent="0.3">
      <c r="B27" s="18" t="s">
        <v>2</v>
      </c>
      <c r="C27" s="13">
        <v>1237821</v>
      </c>
      <c r="D27" s="15">
        <v>42683.482758620688</v>
      </c>
      <c r="E27" s="15">
        <v>7.8715380176181311</v>
      </c>
      <c r="F27" s="15">
        <v>7.8715380176181311</v>
      </c>
      <c r="G27" s="14"/>
      <c r="H27" s="19"/>
      <c r="J27" s="97" t="s">
        <v>95</v>
      </c>
      <c r="K27" s="98">
        <v>28.68</v>
      </c>
      <c r="L27" s="98">
        <v>27.6</v>
      </c>
      <c r="M27" s="98">
        <v>35</v>
      </c>
      <c r="N27" s="98">
        <v>37.409999999999997</v>
      </c>
      <c r="O27" s="98">
        <v>12.78</v>
      </c>
      <c r="P27" s="98">
        <v>29.17</v>
      </c>
      <c r="Q27" s="98">
        <v>28.16</v>
      </c>
      <c r="R27" s="98">
        <v>30.55</v>
      </c>
      <c r="S27" s="98">
        <v>25.16</v>
      </c>
      <c r="T27" s="21">
        <v>25.89</v>
      </c>
      <c r="U27" s="22">
        <v>20.440000000000001</v>
      </c>
      <c r="V27" s="22">
        <v>20</v>
      </c>
      <c r="W27" s="22">
        <v>22.17</v>
      </c>
      <c r="X27" s="22">
        <v>22.44</v>
      </c>
      <c r="Y27" s="22">
        <v>23.84</v>
      </c>
      <c r="Z27" s="22">
        <v>27.61</v>
      </c>
      <c r="AA27" s="22">
        <v>19.04</v>
      </c>
      <c r="AB27" s="22">
        <v>20.96</v>
      </c>
      <c r="AD27" s="18" t="s">
        <v>9</v>
      </c>
      <c r="AE27" s="121">
        <v>3.8934315862424294</v>
      </c>
      <c r="AF27" s="121">
        <v>5.0668122530720714</v>
      </c>
      <c r="AG27" s="121">
        <v>4.311983505225764</v>
      </c>
    </row>
    <row r="28" spans="2:33" ht="16.5" thickBot="1" x14ac:dyDescent="0.3">
      <c r="B28" s="20" t="s">
        <v>1</v>
      </c>
      <c r="C28" s="13">
        <v>1279931</v>
      </c>
      <c r="D28" s="15">
        <v>44135.551724137928</v>
      </c>
      <c r="E28" s="15">
        <v>8.6873919192854352</v>
      </c>
      <c r="F28" s="15">
        <v>8.6873919192854352</v>
      </c>
      <c r="G28" s="14"/>
      <c r="H28" s="19"/>
      <c r="J28" s="99" t="s">
        <v>45</v>
      </c>
      <c r="K28" s="100">
        <f>SUM(K24:K27)</f>
        <v>95.585941126328038</v>
      </c>
      <c r="L28" s="100">
        <f>SUM(L24:L27)</f>
        <v>100.61828936485088</v>
      </c>
      <c r="M28" s="100">
        <f t="shared" ref="M28:Y28" si="4">SUM(M24:M27)</f>
        <v>101.34307648291575</v>
      </c>
      <c r="N28" s="100">
        <f t="shared" si="4"/>
        <v>129.00864847774346</v>
      </c>
      <c r="O28" s="100">
        <f t="shared" si="4"/>
        <v>63.186417290835301</v>
      </c>
      <c r="P28" s="100">
        <f t="shared" si="4"/>
        <v>92.277047033255258</v>
      </c>
      <c r="Q28" s="100">
        <f t="shared" si="4"/>
        <v>97.282348463262196</v>
      </c>
      <c r="R28" s="100">
        <f t="shared" si="4"/>
        <v>111.56018128713102</v>
      </c>
      <c r="S28" s="100">
        <f t="shared" si="4"/>
        <v>95.105630863974909</v>
      </c>
      <c r="T28" s="100">
        <f t="shared" si="4"/>
        <v>106.88842527458041</v>
      </c>
      <c r="U28" s="101">
        <f t="shared" si="4"/>
        <v>88.70183423713307</v>
      </c>
      <c r="V28" s="101">
        <v>76.67</v>
      </c>
      <c r="W28" s="101">
        <f t="shared" si="4"/>
        <v>90.541788908092386</v>
      </c>
      <c r="X28" s="101">
        <f t="shared" si="4"/>
        <v>88.83</v>
      </c>
      <c r="Y28" s="101">
        <f t="shared" si="4"/>
        <v>89.063844380600159</v>
      </c>
      <c r="Z28" s="101">
        <f>SUM(Z24:Z27)</f>
        <v>93.91</v>
      </c>
      <c r="AA28" s="101">
        <f>SUM(AA24:AA27)</f>
        <v>94.380931819735622</v>
      </c>
      <c r="AB28" s="101">
        <f>SUM(AB24:AB27)</f>
        <v>84.294473123473381</v>
      </c>
      <c r="AD28" s="123" t="s">
        <v>15</v>
      </c>
      <c r="AE28" s="121">
        <v>0.12978105287474764</v>
      </c>
      <c r="AF28" s="121">
        <v>0.16889374176906904</v>
      </c>
      <c r="AG28" s="121">
        <v>0.14373278350752544</v>
      </c>
    </row>
    <row r="29" spans="2:33" ht="16.5" thickBot="1" x14ac:dyDescent="0.3">
      <c r="B29" s="20" t="s">
        <v>10</v>
      </c>
      <c r="C29" s="13">
        <v>297790</v>
      </c>
      <c r="D29" s="15">
        <v>10635.357142857143</v>
      </c>
      <c r="E29" s="15">
        <v>2.41732175539657</v>
      </c>
      <c r="F29" s="15">
        <v>2.41732175539657</v>
      </c>
      <c r="G29" s="14"/>
      <c r="H29" s="19"/>
      <c r="J29" s="77" t="s">
        <v>97</v>
      </c>
      <c r="K29" s="102">
        <f>+K24+K25+K26</f>
        <v>66.905941126328045</v>
      </c>
      <c r="L29" s="102">
        <f t="shared" ref="L29:U29" si="5">+L24+L25+L26</f>
        <v>73.018289364850887</v>
      </c>
      <c r="M29" s="102">
        <f t="shared" si="5"/>
        <v>66.343076482915748</v>
      </c>
      <c r="N29" s="102">
        <f t="shared" si="5"/>
        <v>91.598648477743467</v>
      </c>
      <c r="O29" s="102">
        <f t="shared" si="5"/>
        <v>50.4064172908353</v>
      </c>
      <c r="P29" s="78">
        <f t="shared" si="5"/>
        <v>63.107047033255249</v>
      </c>
      <c r="Q29" s="78">
        <f t="shared" si="5"/>
        <v>69.122348463262199</v>
      </c>
      <c r="R29" s="78">
        <f t="shared" si="5"/>
        <v>81.010181287131019</v>
      </c>
      <c r="S29" s="78">
        <f t="shared" si="5"/>
        <v>69.945630863974912</v>
      </c>
      <c r="T29" s="78">
        <f t="shared" si="5"/>
        <v>80.998425274580413</v>
      </c>
      <c r="U29" s="78">
        <f t="shared" si="5"/>
        <v>68.261834237133073</v>
      </c>
      <c r="V29" s="78">
        <f t="shared" ref="V29" si="6">+V24+V25+V26</f>
        <v>56.679999999999993</v>
      </c>
      <c r="W29" s="78">
        <f>+W24+W25+W26</f>
        <v>68.371788908092384</v>
      </c>
      <c r="X29" s="78">
        <f t="shared" ref="X29:Y29" si="7">+X24+X25+X26</f>
        <v>66.39</v>
      </c>
      <c r="Y29" s="78">
        <f t="shared" si="7"/>
        <v>65.223844380600156</v>
      </c>
      <c r="Z29" s="78">
        <f>+Z24+Z25+Z26</f>
        <v>66.3</v>
      </c>
      <c r="AA29" s="78">
        <f>+AA24+AA25+AA26</f>
        <v>75.34093181973563</v>
      </c>
      <c r="AB29" s="78">
        <f>+AB24+AB25+AB26</f>
        <v>63.334473123473387</v>
      </c>
      <c r="AD29" s="123" t="s">
        <v>16</v>
      </c>
      <c r="AE29" s="121">
        <v>0.32445263218686909</v>
      </c>
      <c r="AF29" s="121">
        <v>0.4222343544226726</v>
      </c>
      <c r="AG29" s="121">
        <v>0.35933195876881363</v>
      </c>
    </row>
    <row r="30" spans="2:33" ht="16.5" thickBot="1" x14ac:dyDescent="0.3">
      <c r="B30" s="20" t="s">
        <v>9</v>
      </c>
      <c r="C30" s="13">
        <v>600000</v>
      </c>
      <c r="D30" s="15">
        <v>21428.571428571428</v>
      </c>
      <c r="E30" s="15">
        <v>4.8705230304507943</v>
      </c>
      <c r="F30" s="15">
        <v>4.8705230304507943</v>
      </c>
      <c r="G30" s="14"/>
      <c r="H30" s="19"/>
      <c r="J30" s="77" t="s">
        <v>46</v>
      </c>
      <c r="K30" s="78">
        <f t="shared" ref="K30:U30" si="8">+K28-K27+$J$33</f>
        <v>116.90594112632803</v>
      </c>
      <c r="L30" s="78">
        <f t="shared" si="8"/>
        <v>123.01828936485089</v>
      </c>
      <c r="M30" s="78">
        <f t="shared" si="8"/>
        <v>116.34307648291575</v>
      </c>
      <c r="N30" s="78">
        <f t="shared" si="8"/>
        <v>141.59864847774347</v>
      </c>
      <c r="O30" s="78">
        <f t="shared" si="8"/>
        <v>100.40641729083529</v>
      </c>
      <c r="P30" s="78">
        <f t="shared" si="8"/>
        <v>113.10704703325526</v>
      </c>
      <c r="Q30" s="78">
        <f t="shared" si="8"/>
        <v>119.1223484632622</v>
      </c>
      <c r="R30" s="78">
        <f t="shared" si="8"/>
        <v>131.01018128713102</v>
      </c>
      <c r="S30" s="78">
        <f t="shared" si="8"/>
        <v>119.94563086397491</v>
      </c>
      <c r="T30" s="78">
        <f t="shared" si="8"/>
        <v>130.99842527458043</v>
      </c>
      <c r="U30" s="78">
        <f t="shared" si="8"/>
        <v>118.26183423713307</v>
      </c>
      <c r="V30" s="78">
        <f>+V28-V27+$J$33</f>
        <v>106.67</v>
      </c>
      <c r="W30" s="78">
        <f>+W28-W27+$J$33</f>
        <v>118.37178890809238</v>
      </c>
      <c r="X30" s="78">
        <f t="shared" ref="X30:Y30" si="9">+X28-X27+$J$33</f>
        <v>116.39</v>
      </c>
      <c r="Y30" s="78">
        <f t="shared" si="9"/>
        <v>115.22384438060016</v>
      </c>
      <c r="Z30" s="78">
        <f>+Z28-Z27+$J$33</f>
        <v>116.3</v>
      </c>
      <c r="AA30" s="78">
        <f>+AA28-AA27+$J$33</f>
        <v>125.34093181973563</v>
      </c>
      <c r="AB30" s="78">
        <f>+AB28-AB27+$J$33</f>
        <v>113.33447312347337</v>
      </c>
      <c r="AD30" s="123" t="s">
        <v>17</v>
      </c>
      <c r="AE30" s="121">
        <v>3.5689789540555603</v>
      </c>
      <c r="AF30" s="121">
        <v>0.8444687088453452</v>
      </c>
      <c r="AG30" s="121">
        <v>0.71866391753762726</v>
      </c>
    </row>
    <row r="31" spans="2:33" ht="16.5" thickBot="1" x14ac:dyDescent="0.3">
      <c r="B31" s="18" t="s">
        <v>15</v>
      </c>
      <c r="C31" s="13">
        <v>374400</v>
      </c>
      <c r="D31" s="15">
        <v>13371.428571428571</v>
      </c>
      <c r="E31" s="15">
        <v>3.0392063710012955</v>
      </c>
      <c r="F31" s="15">
        <v>3.0392063710012955</v>
      </c>
      <c r="G31" s="14"/>
      <c r="H31" s="19"/>
      <c r="J31" s="76" t="s">
        <v>47</v>
      </c>
      <c r="K31" s="78">
        <f t="shared" ref="K31:U31" si="10">+K30+K32</f>
        <v>159.28594112632803</v>
      </c>
      <c r="L31" s="78">
        <f t="shared" si="10"/>
        <v>160.83287245883696</v>
      </c>
      <c r="M31" s="78">
        <f t="shared" si="10"/>
        <v>162.86307648291574</v>
      </c>
      <c r="N31" s="78">
        <f t="shared" si="10"/>
        <v>180.43864847774347</v>
      </c>
      <c r="O31" s="78">
        <f t="shared" si="10"/>
        <v>126.9164172908353</v>
      </c>
      <c r="P31" s="78">
        <f t="shared" si="10"/>
        <v>144.94704703325525</v>
      </c>
      <c r="Q31" s="78">
        <f t="shared" si="10"/>
        <v>153.1223484632622</v>
      </c>
      <c r="R31" s="78">
        <f t="shared" si="10"/>
        <v>166.01018128713102</v>
      </c>
      <c r="S31" s="78">
        <f t="shared" si="10"/>
        <v>158.58563086397493</v>
      </c>
      <c r="T31" s="78">
        <f t="shared" si="10"/>
        <v>164.34842527458042</v>
      </c>
      <c r="U31" s="78">
        <f t="shared" si="10"/>
        <v>145.75183423713307</v>
      </c>
      <c r="V31" s="78">
        <f t="shared" ref="V31" si="11">+V30+V32</f>
        <v>134.16</v>
      </c>
      <c r="W31" s="78">
        <f>+W30+W32</f>
        <v>146.15178890809239</v>
      </c>
      <c r="X31" s="78">
        <f t="shared" ref="X31:Y31" si="12">+X30+X32</f>
        <v>148.88999999999999</v>
      </c>
      <c r="Y31" s="78">
        <f t="shared" si="12"/>
        <v>147.81384438060016</v>
      </c>
      <c r="Z31" s="78">
        <f>+Z30+Z32</f>
        <v>149.80000000000001</v>
      </c>
      <c r="AA31" s="78">
        <f>+AA30+AA32</f>
        <v>163.66093181973562</v>
      </c>
      <c r="AB31" s="78">
        <f>+AB30+AB32</f>
        <v>145.26447312347338</v>
      </c>
      <c r="AD31" s="123" t="s">
        <v>18</v>
      </c>
      <c r="AE31" s="121">
        <v>1.5399999999999998</v>
      </c>
      <c r="AF31" s="121">
        <v>1.54</v>
      </c>
      <c r="AG31" s="121">
        <v>1.5400000000000003</v>
      </c>
    </row>
    <row r="32" spans="2:33" ht="16.5" thickBot="1" x14ac:dyDescent="0.3">
      <c r="B32" s="18" t="s">
        <v>16</v>
      </c>
      <c r="C32" s="13">
        <v>80566</v>
      </c>
      <c r="D32" s="15">
        <v>2877.3571428571427</v>
      </c>
      <c r="E32" s="15">
        <v>0.65399759745216446</v>
      </c>
      <c r="F32" s="15">
        <v>0.65399759745216446</v>
      </c>
      <c r="G32" s="14"/>
      <c r="H32" s="19"/>
      <c r="J32" s="80" t="s">
        <v>37</v>
      </c>
      <c r="K32" s="79">
        <v>42.38</v>
      </c>
      <c r="L32" s="79">
        <v>37.814583093986059</v>
      </c>
      <c r="M32" s="79">
        <v>46.52</v>
      </c>
      <c r="N32" s="79">
        <v>38.840000000000003</v>
      </c>
      <c r="O32" s="79">
        <v>26.51</v>
      </c>
      <c r="P32" s="79">
        <v>31.84</v>
      </c>
      <c r="Q32" s="79">
        <v>34</v>
      </c>
      <c r="R32" s="79">
        <v>35</v>
      </c>
      <c r="S32" s="79">
        <v>38.64</v>
      </c>
      <c r="T32" s="79">
        <v>33.35</v>
      </c>
      <c r="U32" s="79">
        <v>27.49</v>
      </c>
      <c r="V32" s="79">
        <v>27.49</v>
      </c>
      <c r="W32" s="79">
        <v>27.78</v>
      </c>
      <c r="X32" s="79">
        <v>32.5</v>
      </c>
      <c r="Y32" s="79">
        <v>32.590000000000003</v>
      </c>
      <c r="Z32" s="79">
        <v>33.5</v>
      </c>
      <c r="AA32" s="79">
        <v>38.32</v>
      </c>
      <c r="AB32" s="79">
        <v>31.93</v>
      </c>
      <c r="AD32" s="123" t="s">
        <v>123</v>
      </c>
      <c r="AE32" s="124">
        <v>2.8551831632444484</v>
      </c>
      <c r="AF32" s="124">
        <v>2.8289701746319063</v>
      </c>
      <c r="AG32" s="124">
        <v>2.874655670150509</v>
      </c>
    </row>
    <row r="33" spans="2:33" ht="16.5" thickBot="1" x14ac:dyDescent="0.3">
      <c r="B33" s="18" t="s">
        <v>17</v>
      </c>
      <c r="C33" s="13">
        <v>160000</v>
      </c>
      <c r="D33" s="15">
        <v>5714.2857142857147</v>
      </c>
      <c r="E33" s="15">
        <v>1.2988061414535452</v>
      </c>
      <c r="F33" s="15">
        <v>1.2988061414535452</v>
      </c>
      <c r="G33" s="14"/>
      <c r="H33" s="19"/>
      <c r="J33" s="38">
        <v>50</v>
      </c>
      <c r="L33" s="1"/>
      <c r="M33" s="1"/>
      <c r="N33" s="1"/>
      <c r="O33" s="1"/>
      <c r="P33" s="1"/>
      <c r="Q33" s="1"/>
      <c r="R33" s="1"/>
      <c r="S33" s="1"/>
      <c r="T33" s="1"/>
      <c r="AD33" s="123" t="s">
        <v>124</v>
      </c>
      <c r="AE33" s="121">
        <v>1.9467157931212147</v>
      </c>
      <c r="AF33" s="121">
        <v>2.5334061265360357</v>
      </c>
      <c r="AG33" s="121">
        <v>2.155991752612882</v>
      </c>
    </row>
    <row r="34" spans="2:33" x14ac:dyDescent="0.25">
      <c r="B34" s="18" t="s">
        <v>18</v>
      </c>
      <c r="C34" s="13">
        <v>313008</v>
      </c>
      <c r="D34" s="15">
        <v>11178.857142857143</v>
      </c>
      <c r="E34" s="15">
        <v>2.5408544545255705</v>
      </c>
      <c r="F34" s="15">
        <v>2.5408544545255705</v>
      </c>
      <c r="G34" s="14"/>
      <c r="H34" s="19"/>
      <c r="AD34" s="123" t="s">
        <v>19</v>
      </c>
      <c r="AE34" s="124">
        <v>0.64890526437373819</v>
      </c>
      <c r="AF34" s="124">
        <v>0.8444687088453452</v>
      </c>
      <c r="AG34" s="124">
        <v>0.71866391753762726</v>
      </c>
    </row>
    <row r="35" spans="2:33" x14ac:dyDescent="0.25">
      <c r="B35" s="18" t="s">
        <v>20</v>
      </c>
      <c r="C35" s="13">
        <v>92151</v>
      </c>
      <c r="D35" s="15">
        <v>3291.1071428571427</v>
      </c>
      <c r="E35" s="15">
        <v>0.74803927963178529</v>
      </c>
      <c r="F35" s="15">
        <v>0.74803927963178529</v>
      </c>
      <c r="G35" s="14"/>
      <c r="H35" s="19"/>
      <c r="K35" s="1"/>
      <c r="L35" s="1"/>
      <c r="M35" s="1"/>
      <c r="N35" s="1"/>
      <c r="O35" s="1"/>
      <c r="P35" s="1"/>
      <c r="Q35" s="1"/>
      <c r="R35" s="1"/>
      <c r="S35" s="1"/>
      <c r="T35" s="1"/>
      <c r="AD35" s="26" t="s">
        <v>125</v>
      </c>
      <c r="AE35" s="67">
        <v>9.0500000000000007</v>
      </c>
      <c r="AF35" s="67">
        <v>10.88</v>
      </c>
      <c r="AG35" s="67">
        <v>15.06</v>
      </c>
    </row>
    <row r="36" spans="2:33" x14ac:dyDescent="0.25">
      <c r="B36" s="18" t="s">
        <v>23</v>
      </c>
      <c r="C36" s="13">
        <v>3062223</v>
      </c>
      <c r="D36" s="15">
        <v>109365.10714285714</v>
      </c>
      <c r="E36" s="15">
        <v>24.857712743126871</v>
      </c>
      <c r="F36" s="15">
        <v>24.857712743126871</v>
      </c>
      <c r="G36" s="14"/>
      <c r="H36" s="19"/>
      <c r="AD36" s="26" t="s">
        <v>32</v>
      </c>
      <c r="AE36" s="67">
        <v>13.39</v>
      </c>
      <c r="AF36" s="67">
        <v>16.73</v>
      </c>
      <c r="AG36" s="67">
        <v>19.95</v>
      </c>
    </row>
    <row r="37" spans="2:33" x14ac:dyDescent="0.25">
      <c r="B37" s="18" t="s">
        <v>19</v>
      </c>
      <c r="C37" s="13">
        <v>788344</v>
      </c>
      <c r="D37" s="15">
        <v>28155.142857142859</v>
      </c>
      <c r="E37" s="15">
        <v>6.3994126798628352</v>
      </c>
      <c r="F37" s="15">
        <v>6.3994126798628352</v>
      </c>
      <c r="G37" s="14"/>
      <c r="H37" s="19"/>
      <c r="AD37" s="125" t="s">
        <v>126</v>
      </c>
      <c r="AE37" s="67">
        <v>22.44</v>
      </c>
      <c r="AF37" s="67">
        <v>27.61</v>
      </c>
      <c r="AG37" s="67">
        <v>35.01</v>
      </c>
    </row>
    <row r="38" spans="2:33" ht="16.5" thickBot="1" x14ac:dyDescent="0.3">
      <c r="B38" s="27" t="s">
        <v>8</v>
      </c>
      <c r="C38" s="28">
        <f>SUM(C26:C37)</f>
        <v>9549021</v>
      </c>
      <c r="D38" s="28">
        <f t="shared" ref="D38" si="13">SUM(D26:D37)</f>
        <v>336380.62807881768</v>
      </c>
      <c r="E38" s="29">
        <f>SUM(E26:E37)-E36</f>
        <v>47.098120137750143</v>
      </c>
      <c r="F38" s="29">
        <f>SUM(F26:F37)-F36</f>
        <v>47.098120137750143</v>
      </c>
      <c r="G38" s="14"/>
      <c r="H38" s="19"/>
      <c r="AD38" s="23" t="s">
        <v>45</v>
      </c>
      <c r="AE38" s="120">
        <v>88.786714704250855</v>
      </c>
      <c r="AF38" s="120">
        <v>104.06087122615226</v>
      </c>
      <c r="AG38" s="120">
        <v>102.57398789639791</v>
      </c>
    </row>
    <row r="39" spans="2:33" ht="16.5" thickBot="1" x14ac:dyDescent="0.3">
      <c r="B39" s="26" t="s">
        <v>30</v>
      </c>
      <c r="C39" s="14"/>
      <c r="D39" s="14"/>
      <c r="E39" s="16"/>
      <c r="F39" s="15">
        <v>15.35</v>
      </c>
      <c r="G39" s="14"/>
      <c r="H39" s="19"/>
      <c r="AD39" s="77" t="s">
        <v>127</v>
      </c>
      <c r="AE39" s="120">
        <v>66.346714704250857</v>
      </c>
      <c r="AF39" s="120">
        <v>76.450871226152259</v>
      </c>
      <c r="AG39" s="120">
        <v>67.563987896397919</v>
      </c>
    </row>
    <row r="40" spans="2:33" ht="16.5" thickBot="1" x14ac:dyDescent="0.3">
      <c r="B40" s="26" t="s">
        <v>31</v>
      </c>
      <c r="C40" s="14"/>
      <c r="D40" s="14"/>
      <c r="E40" s="16"/>
      <c r="F40" s="14">
        <v>10.87</v>
      </c>
      <c r="G40" s="14"/>
      <c r="H40" s="19"/>
      <c r="AD40" s="77" t="s">
        <v>128</v>
      </c>
      <c r="AE40" s="120">
        <v>138.78671470425087</v>
      </c>
      <c r="AF40" s="120">
        <v>154.06087122615224</v>
      </c>
      <c r="AG40" s="120">
        <v>152.57398789639791</v>
      </c>
    </row>
    <row r="41" spans="2:33" ht="16.5" thickBot="1" x14ac:dyDescent="0.3">
      <c r="B41" s="26" t="s">
        <v>36</v>
      </c>
      <c r="C41" s="14"/>
      <c r="D41" s="14"/>
      <c r="E41" s="16"/>
      <c r="F41" s="15">
        <v>27.6</v>
      </c>
      <c r="G41" s="14"/>
      <c r="H41" s="19"/>
      <c r="AD41" s="76" t="s">
        <v>129</v>
      </c>
      <c r="AE41" s="120">
        <v>121.31857189361207</v>
      </c>
      <c r="AF41" s="120">
        <v>138.40096802905805</v>
      </c>
      <c r="AG41" s="120">
        <v>135.41554210710879</v>
      </c>
    </row>
    <row r="42" spans="2:33" ht="16.5" thickBot="1" x14ac:dyDescent="0.3">
      <c r="B42" s="23" t="s">
        <v>33</v>
      </c>
      <c r="C42" s="24"/>
      <c r="D42" s="24"/>
      <c r="E42" s="25"/>
      <c r="F42" s="25">
        <f>+F41+F40+F39+F38</f>
        <v>100.91812013775015</v>
      </c>
      <c r="G42" s="21"/>
      <c r="H42" s="22"/>
      <c r="AD42" s="80" t="s">
        <v>37</v>
      </c>
      <c r="AE42" s="120">
        <v>32.531857189361212</v>
      </c>
      <c r="AF42" s="120">
        <v>34.340096802905805</v>
      </c>
      <c r="AG42" s="120">
        <v>32.841554210710882</v>
      </c>
    </row>
    <row r="43" spans="2:33" ht="16.5" thickBot="1" x14ac:dyDescent="0.3">
      <c r="AD43" s="126" t="s">
        <v>130</v>
      </c>
      <c r="AE43" s="127">
        <v>171.31857189361207</v>
      </c>
      <c r="AF43" s="127">
        <v>188.40096802905805</v>
      </c>
      <c r="AG43" s="127">
        <v>185.41554210710879</v>
      </c>
    </row>
    <row r="44" spans="2:33" ht="15.75" thickBot="1" x14ac:dyDescent="0.3">
      <c r="B44" s="168" t="s">
        <v>56</v>
      </c>
      <c r="C44" s="169"/>
      <c r="D44" s="169"/>
      <c r="E44" s="169"/>
      <c r="F44" s="170"/>
      <c r="G44" s="12" t="s">
        <v>0</v>
      </c>
      <c r="H44" s="12" t="s">
        <v>2</v>
      </c>
      <c r="AD44" s="128" t="s">
        <v>131</v>
      </c>
      <c r="AE44" s="129"/>
      <c r="AF44" s="129"/>
      <c r="AG44" s="130"/>
    </row>
    <row r="45" spans="2:33" ht="15.75" thickBot="1" x14ac:dyDescent="0.3">
      <c r="B45" s="49" t="s">
        <v>55</v>
      </c>
      <c r="C45" s="50" t="s">
        <v>4</v>
      </c>
      <c r="D45" s="50" t="s">
        <v>3</v>
      </c>
      <c r="E45" s="50" t="s">
        <v>24</v>
      </c>
      <c r="F45" s="50" t="s">
        <v>38</v>
      </c>
      <c r="G45" s="50">
        <v>147332.01999999999</v>
      </c>
      <c r="H45" s="50">
        <v>157252.75000000006</v>
      </c>
      <c r="AD45" s="131" t="s">
        <v>132</v>
      </c>
      <c r="AE45" s="120">
        <v>75.301173627295512</v>
      </c>
      <c r="AF45" s="120">
        <v>89.889730653287231</v>
      </c>
      <c r="AG45" s="120">
        <v>88.79129265352455</v>
      </c>
    </row>
    <row r="46" spans="2:33" x14ac:dyDescent="0.25">
      <c r="B46" s="42" t="s">
        <v>51</v>
      </c>
      <c r="C46" s="46">
        <v>1139371</v>
      </c>
      <c r="D46" s="43">
        <v>39288.655172413797</v>
      </c>
      <c r="E46" s="43">
        <v>7.7333562656644501</v>
      </c>
      <c r="F46" s="43">
        <v>8.5710288910720163</v>
      </c>
      <c r="G46" s="47"/>
      <c r="H46" s="48"/>
      <c r="AD46" s="131" t="s">
        <v>133</v>
      </c>
      <c r="AE46" s="67">
        <v>360</v>
      </c>
      <c r="AF46" s="67">
        <v>365</v>
      </c>
      <c r="AG46" s="132">
        <v>355</v>
      </c>
    </row>
    <row r="47" spans="2:33" x14ac:dyDescent="0.25">
      <c r="B47" s="18" t="s">
        <v>52</v>
      </c>
      <c r="C47" s="13">
        <v>1018631</v>
      </c>
      <c r="D47" s="15">
        <v>35125.206896551725</v>
      </c>
      <c r="E47" s="15">
        <v>6.4776673221930912</v>
      </c>
      <c r="F47" s="15">
        <v>7.8715380176181311</v>
      </c>
      <c r="G47" s="14"/>
      <c r="H47" s="19"/>
      <c r="AD47" s="131" t="s">
        <v>134</v>
      </c>
      <c r="AE47" s="67">
        <v>50</v>
      </c>
      <c r="AF47" s="67">
        <v>50</v>
      </c>
      <c r="AG47" s="132">
        <v>50</v>
      </c>
    </row>
    <row r="48" spans="2:33" x14ac:dyDescent="0.25">
      <c r="B48" s="20" t="s">
        <v>53</v>
      </c>
      <c r="C48" s="13">
        <v>1140176</v>
      </c>
      <c r="D48" s="15">
        <v>39316.413793103449</v>
      </c>
      <c r="E48" s="15">
        <v>7.738820115274331</v>
      </c>
      <c r="F48" s="15">
        <v>8.6873919192854352</v>
      </c>
      <c r="G48" s="14"/>
      <c r="H48" s="19"/>
      <c r="AD48" s="131" t="s">
        <v>66</v>
      </c>
      <c r="AE48" s="120">
        <v>485.3011736272955</v>
      </c>
      <c r="AF48" s="120">
        <v>504.88973065328724</v>
      </c>
      <c r="AG48" s="133">
        <v>493.79129265352458</v>
      </c>
    </row>
    <row r="49" spans="2:33" x14ac:dyDescent="0.25">
      <c r="B49" s="20" t="s">
        <v>10</v>
      </c>
      <c r="C49" s="13">
        <v>524865</v>
      </c>
      <c r="D49" s="15">
        <v>18098.793103448275</v>
      </c>
      <c r="E49" s="15">
        <v>3.5624638825966009</v>
      </c>
      <c r="F49" s="15">
        <v>3.5624638825966009</v>
      </c>
      <c r="G49" s="14"/>
      <c r="H49" s="19"/>
      <c r="AD49" s="131"/>
      <c r="AE49" s="67"/>
      <c r="AF49" s="67"/>
      <c r="AG49" s="132"/>
    </row>
    <row r="50" spans="2:33" x14ac:dyDescent="0.25">
      <c r="B50" s="20" t="s">
        <v>9</v>
      </c>
      <c r="C50" s="13">
        <v>600000</v>
      </c>
      <c r="D50" s="15">
        <v>20689.655172413793</v>
      </c>
      <c r="E50" s="15">
        <v>4.0724344918368729</v>
      </c>
      <c r="F50" s="15">
        <v>4.0724344918368729</v>
      </c>
      <c r="G50" s="14"/>
      <c r="H50" s="19"/>
      <c r="AD50" s="131" t="s">
        <v>135</v>
      </c>
      <c r="AE50" s="67">
        <v>100</v>
      </c>
      <c r="AF50" s="67">
        <v>100</v>
      </c>
      <c r="AG50" s="132">
        <v>100</v>
      </c>
    </row>
    <row r="51" spans="2:33" x14ac:dyDescent="0.25">
      <c r="B51" s="18" t="s">
        <v>15</v>
      </c>
      <c r="C51" s="13">
        <v>80850</v>
      </c>
      <c r="D51" s="15">
        <v>2787.9310344827586</v>
      </c>
      <c r="E51" s="15">
        <v>0.5487605477750187</v>
      </c>
      <c r="F51" s="15">
        <v>0.5487605477750187</v>
      </c>
      <c r="G51" s="14"/>
      <c r="H51" s="19"/>
      <c r="AD51" s="131" t="s">
        <v>136</v>
      </c>
      <c r="AE51" s="120">
        <v>385.3011736272955</v>
      </c>
      <c r="AF51" s="120">
        <v>404.88973065328724</v>
      </c>
      <c r="AG51" s="133">
        <v>393.79129265352458</v>
      </c>
    </row>
    <row r="52" spans="2:33" x14ac:dyDescent="0.25">
      <c r="B52" s="18" t="s">
        <v>16</v>
      </c>
      <c r="C52" s="13">
        <v>52290</v>
      </c>
      <c r="D52" s="15">
        <v>1803.1034482758621</v>
      </c>
      <c r="E52" s="15">
        <v>0.35491266596358351</v>
      </c>
      <c r="F52" s="15">
        <v>0.35491266596358351</v>
      </c>
      <c r="G52" s="14"/>
      <c r="H52" s="19"/>
      <c r="AD52" s="131"/>
      <c r="AE52" s="67"/>
      <c r="AF52" s="67"/>
      <c r="AG52" s="132"/>
    </row>
    <row r="53" spans="2:33" x14ac:dyDescent="0.25">
      <c r="B53" s="18" t="s">
        <v>17</v>
      </c>
      <c r="C53" s="13">
        <v>40300</v>
      </c>
      <c r="D53" s="15">
        <v>1389.655172413793</v>
      </c>
      <c r="E53" s="15">
        <v>0.27353185003504332</v>
      </c>
      <c r="F53" s="15">
        <v>0.27353185003504332</v>
      </c>
      <c r="G53" s="14"/>
      <c r="H53" s="19"/>
      <c r="AD53" s="131"/>
      <c r="AE53" s="120"/>
      <c r="AF53" s="120"/>
      <c r="AG53" s="133"/>
    </row>
    <row r="54" spans="2:33" x14ac:dyDescent="0.25">
      <c r="B54" s="18" t="s">
        <v>18</v>
      </c>
      <c r="C54" s="13">
        <v>413800</v>
      </c>
      <c r="D54" s="15">
        <v>14268.965517241379</v>
      </c>
      <c r="E54" s="15">
        <v>2.8086223212034969</v>
      </c>
      <c r="F54" s="15">
        <v>2.8086223212034969</v>
      </c>
      <c r="G54" s="14"/>
      <c r="H54" s="19"/>
      <c r="AD54" s="134" t="s">
        <v>137</v>
      </c>
      <c r="AE54" s="66"/>
      <c r="AF54" s="66"/>
      <c r="AG54" s="135"/>
    </row>
    <row r="55" spans="2:33" x14ac:dyDescent="0.25">
      <c r="B55" s="18" t="s">
        <v>20</v>
      </c>
      <c r="C55" s="13">
        <v>154176</v>
      </c>
      <c r="D55" s="15">
        <v>5316.4137931034484</v>
      </c>
      <c r="E55" s="15">
        <v>1.0464527670224029</v>
      </c>
      <c r="F55" s="15">
        <v>1.0464527670224029</v>
      </c>
      <c r="G55" s="14"/>
      <c r="H55" s="19"/>
      <c r="AD55" s="131" t="s">
        <v>132</v>
      </c>
      <c r="AE55" s="120">
        <v>88.786714704250855</v>
      </c>
      <c r="AF55" s="120">
        <v>104.06087122615226</v>
      </c>
      <c r="AG55" s="120">
        <v>102.57398789639791</v>
      </c>
    </row>
    <row r="56" spans="2:33" x14ac:dyDescent="0.25">
      <c r="B56" s="18" t="s">
        <v>23</v>
      </c>
      <c r="C56" s="13">
        <v>4469432</v>
      </c>
      <c r="D56" s="15">
        <v>154118.3448275862</v>
      </c>
      <c r="E56" s="15">
        <v>30.335781726199102</v>
      </c>
      <c r="F56" s="15">
        <v>30.335781726199102</v>
      </c>
      <c r="G56" s="14"/>
      <c r="H56" s="19"/>
      <c r="AD56" s="131" t="s">
        <v>133</v>
      </c>
      <c r="AE56" s="67">
        <v>304</v>
      </c>
      <c r="AF56" s="67">
        <v>305</v>
      </c>
      <c r="AG56" s="132">
        <v>293</v>
      </c>
    </row>
    <row r="57" spans="2:33" x14ac:dyDescent="0.25">
      <c r="B57" s="18" t="s">
        <v>19</v>
      </c>
      <c r="C57" s="13">
        <v>414878</v>
      </c>
      <c r="D57" s="15">
        <v>14306.137931034482</v>
      </c>
      <c r="E57" s="15">
        <v>2.8159391285071638</v>
      </c>
      <c r="F57" s="15">
        <v>2.8159391285071638</v>
      </c>
      <c r="G57" s="14"/>
      <c r="H57" s="19"/>
      <c r="AD57" s="131" t="s">
        <v>134</v>
      </c>
      <c r="AE57" s="67">
        <v>50</v>
      </c>
      <c r="AF57" s="67">
        <v>50</v>
      </c>
      <c r="AG57" s="132">
        <v>50</v>
      </c>
    </row>
    <row r="58" spans="2:33" x14ac:dyDescent="0.25">
      <c r="B58" s="27" t="s">
        <v>8</v>
      </c>
      <c r="C58" s="28">
        <f>SUM(C46:C57)</f>
        <v>10048769</v>
      </c>
      <c r="D58" s="28">
        <f t="shared" ref="D58" si="14">SUM(D46:D57)</f>
        <v>346509.27586206899</v>
      </c>
      <c r="E58" s="29">
        <f>SUM(E46:E57)-E56</f>
        <v>37.432961358072049</v>
      </c>
      <c r="F58" s="29">
        <f>SUM(F46:F57)-F56</f>
        <v>40.613076482915758</v>
      </c>
      <c r="G58" s="14"/>
      <c r="H58" s="19"/>
      <c r="AD58" s="131" t="s">
        <v>66</v>
      </c>
      <c r="AE58" s="120">
        <v>442.78671470425087</v>
      </c>
      <c r="AF58" s="120">
        <v>459.06087122615224</v>
      </c>
      <c r="AG58" s="133">
        <v>445.57398789639791</v>
      </c>
    </row>
    <row r="59" spans="2:33" x14ac:dyDescent="0.25">
      <c r="B59" s="26" t="s">
        <v>30</v>
      </c>
      <c r="C59" s="14"/>
      <c r="D59" s="14"/>
      <c r="E59" s="16"/>
      <c r="F59" s="15">
        <v>12.96</v>
      </c>
      <c r="G59" s="14"/>
      <c r="H59" s="19"/>
      <c r="AD59" s="131"/>
      <c r="AE59" s="67"/>
      <c r="AF59" s="67"/>
      <c r="AG59" s="132"/>
    </row>
    <row r="60" spans="2:33" x14ac:dyDescent="0.25">
      <c r="B60" s="26" t="s">
        <v>31</v>
      </c>
      <c r="C60" s="14"/>
      <c r="D60" s="14"/>
      <c r="E60" s="16"/>
      <c r="F60" s="14">
        <v>12.77</v>
      </c>
      <c r="G60" s="14"/>
      <c r="H60" s="19"/>
      <c r="AD60" s="131" t="s">
        <v>135</v>
      </c>
      <c r="AE60" s="67">
        <v>150</v>
      </c>
      <c r="AF60" s="67">
        <v>150</v>
      </c>
      <c r="AG60" s="132">
        <v>150</v>
      </c>
    </row>
    <row r="61" spans="2:33" x14ac:dyDescent="0.25">
      <c r="B61" s="26" t="s">
        <v>36</v>
      </c>
      <c r="C61" s="14"/>
      <c r="D61" s="14"/>
      <c r="E61" s="16"/>
      <c r="F61" s="15">
        <v>62.58</v>
      </c>
      <c r="G61" s="14"/>
      <c r="H61" s="19"/>
      <c r="AD61" s="131" t="s">
        <v>138</v>
      </c>
      <c r="AE61" s="120">
        <v>292.78671470425087</v>
      </c>
      <c r="AF61" s="120">
        <v>309.06087122615224</v>
      </c>
      <c r="AG61" s="133">
        <v>295.57398789639791</v>
      </c>
    </row>
    <row r="62" spans="2:33" ht="16.5" thickBot="1" x14ac:dyDescent="0.3">
      <c r="B62" s="23" t="s">
        <v>33</v>
      </c>
      <c r="C62" s="24"/>
      <c r="D62" s="24"/>
      <c r="E62" s="25"/>
      <c r="F62" s="25">
        <f>+F61+F60+F59+F58</f>
        <v>128.92307648291575</v>
      </c>
      <c r="G62" s="21"/>
      <c r="H62" s="22"/>
      <c r="AD62" s="136"/>
      <c r="AE62" s="137">
        <v>32.531857189361212</v>
      </c>
      <c r="AF62" s="137">
        <v>34.340096802905805</v>
      </c>
      <c r="AG62" s="137">
        <v>32.841554210710882</v>
      </c>
    </row>
    <row r="63" spans="2:33" ht="15.75" thickBot="1" x14ac:dyDescent="0.3"/>
    <row r="64" spans="2:33" ht="15.75" thickBot="1" x14ac:dyDescent="0.3">
      <c r="B64" s="168" t="s">
        <v>67</v>
      </c>
      <c r="C64" s="169"/>
      <c r="D64" s="169"/>
      <c r="E64" s="169"/>
      <c r="F64" s="170"/>
      <c r="G64" s="12" t="s">
        <v>0</v>
      </c>
      <c r="H64" s="12" t="s">
        <v>2</v>
      </c>
    </row>
    <row r="65" spans="2:8" ht="15.75" thickBot="1" x14ac:dyDescent="0.3">
      <c r="B65" s="49" t="s">
        <v>55</v>
      </c>
      <c r="C65" s="50" t="s">
        <v>4</v>
      </c>
      <c r="D65" s="50" t="s">
        <v>3</v>
      </c>
      <c r="E65" s="50" t="s">
        <v>24</v>
      </c>
      <c r="F65" s="50" t="s">
        <v>38</v>
      </c>
      <c r="G65" s="50">
        <v>147332.01999999999</v>
      </c>
      <c r="H65" s="50">
        <v>157252.75000000006</v>
      </c>
    </row>
    <row r="66" spans="2:8" x14ac:dyDescent="0.25">
      <c r="B66" s="42" t="s">
        <v>51</v>
      </c>
      <c r="C66" s="46">
        <v>993926</v>
      </c>
      <c r="D66" s="43">
        <v>45178.454545454544</v>
      </c>
      <c r="E66" s="43">
        <v>11.364001194566644</v>
      </c>
      <c r="F66" s="43">
        <v>11.364001194566644</v>
      </c>
      <c r="G66" s="47"/>
      <c r="H66" s="48"/>
    </row>
    <row r="67" spans="2:8" x14ac:dyDescent="0.25">
      <c r="B67" s="18" t="s">
        <v>52</v>
      </c>
      <c r="C67" s="13">
        <v>1088376</v>
      </c>
      <c r="D67" s="15">
        <v>49471.63636363636</v>
      </c>
      <c r="E67" s="15">
        <v>11.237446259837499</v>
      </c>
      <c r="F67" s="15">
        <v>11.237446259837499</v>
      </c>
      <c r="G67" s="14"/>
      <c r="H67" s="19"/>
    </row>
    <row r="68" spans="2:8" x14ac:dyDescent="0.25">
      <c r="B68" s="20" t="s">
        <v>53</v>
      </c>
      <c r="C68" s="13">
        <v>1215583</v>
      </c>
      <c r="D68" s="15">
        <v>55253.772727272728</v>
      </c>
      <c r="E68" s="15">
        <v>13.898304968473411</v>
      </c>
      <c r="F68" s="15">
        <v>13.898304968473411</v>
      </c>
      <c r="G68" s="14"/>
      <c r="H68" s="19"/>
    </row>
    <row r="69" spans="2:8" x14ac:dyDescent="0.25">
      <c r="B69" s="20" t="s">
        <v>10</v>
      </c>
      <c r="C69" s="13">
        <v>408973</v>
      </c>
      <c r="D69" s="15">
        <v>18589.68181818182</v>
      </c>
      <c r="E69" s="15">
        <v>4.6759715115063933</v>
      </c>
      <c r="F69" s="15">
        <v>4.6759715115063933</v>
      </c>
      <c r="G69" s="14"/>
      <c r="H69" s="19"/>
    </row>
    <row r="70" spans="2:8" x14ac:dyDescent="0.25">
      <c r="B70" s="20" t="s">
        <v>9</v>
      </c>
      <c r="C70" s="13">
        <v>600000</v>
      </c>
      <c r="D70" s="15">
        <v>27272.727272727272</v>
      </c>
      <c r="E70" s="15">
        <v>6.8600687744761544</v>
      </c>
      <c r="F70" s="15">
        <v>6.8600687744761544</v>
      </c>
      <c r="G70" s="14"/>
      <c r="H70" s="19"/>
    </row>
    <row r="71" spans="2:8" x14ac:dyDescent="0.25">
      <c r="B71" s="18" t="s">
        <v>15</v>
      </c>
      <c r="C71" s="13">
        <v>67500</v>
      </c>
      <c r="D71" s="15">
        <v>3068.181818181818</v>
      </c>
      <c r="E71" s="15">
        <v>0.77175773712856732</v>
      </c>
      <c r="F71" s="15">
        <v>0.77175773712856732</v>
      </c>
      <c r="G71" s="14"/>
      <c r="H71" s="19"/>
    </row>
    <row r="72" spans="2:8" x14ac:dyDescent="0.25">
      <c r="B72" s="18" t="s">
        <v>16</v>
      </c>
      <c r="C72" s="13">
        <v>186379</v>
      </c>
      <c r="D72" s="15">
        <v>8471.7727272727279</v>
      </c>
      <c r="E72" s="15">
        <v>2.1309545968634853</v>
      </c>
      <c r="F72" s="15">
        <v>2.1309545968634853</v>
      </c>
      <c r="G72" s="14"/>
      <c r="H72" s="19"/>
    </row>
    <row r="73" spans="2:8" x14ac:dyDescent="0.25">
      <c r="B73" s="18" t="s">
        <v>17</v>
      </c>
      <c r="C73" s="13">
        <v>223450</v>
      </c>
      <c r="D73" s="15">
        <v>10156.818181818182</v>
      </c>
      <c r="E73" s="15">
        <v>2.5548039460944945</v>
      </c>
      <c r="F73" s="15">
        <v>2.5548039460944945</v>
      </c>
      <c r="G73" s="14"/>
      <c r="H73" s="19"/>
    </row>
    <row r="74" spans="2:8" x14ac:dyDescent="0.25">
      <c r="B74" s="18" t="s">
        <v>18</v>
      </c>
      <c r="C74" s="13">
        <v>116330</v>
      </c>
      <c r="D74" s="15">
        <v>5287.727272727273</v>
      </c>
      <c r="E74" s="15">
        <v>1.3300530008913518</v>
      </c>
      <c r="F74" s="15">
        <v>1.3300530008913518</v>
      </c>
      <c r="G74" s="14"/>
      <c r="H74" s="19"/>
    </row>
    <row r="75" spans="2:8" x14ac:dyDescent="0.25">
      <c r="B75" s="18" t="s">
        <v>20</v>
      </c>
      <c r="C75" s="13">
        <v>113122</v>
      </c>
      <c r="D75" s="15">
        <v>5141.909090909091</v>
      </c>
      <c r="E75" s="15">
        <v>1.2933744998438192</v>
      </c>
      <c r="F75" s="15">
        <v>1.2933744998438192</v>
      </c>
      <c r="G75" s="14"/>
      <c r="H75" s="19"/>
    </row>
    <row r="76" spans="2:8" x14ac:dyDescent="0.25">
      <c r="B76" s="18" t="s">
        <v>23</v>
      </c>
      <c r="C76" s="13">
        <v>3890203</v>
      </c>
      <c r="D76" s="15">
        <v>176827.40909090909</v>
      </c>
      <c r="E76" s="15">
        <v>44.478433544455761</v>
      </c>
      <c r="F76" s="15">
        <v>44.478433544455761</v>
      </c>
      <c r="G76" s="14"/>
      <c r="H76" s="19"/>
    </row>
    <row r="77" spans="2:8" x14ac:dyDescent="0.25">
      <c r="B77" s="18" t="s">
        <v>19</v>
      </c>
      <c r="C77" s="13">
        <v>258992</v>
      </c>
      <c r="D77" s="15">
        <v>11772.363636363636</v>
      </c>
      <c r="E77" s="15">
        <v>2.9611715533985468</v>
      </c>
      <c r="F77" s="15">
        <v>2.9611715533985468</v>
      </c>
      <c r="G77" s="14"/>
      <c r="H77" s="19"/>
    </row>
    <row r="78" spans="2:8" x14ac:dyDescent="0.25">
      <c r="B78" s="27" t="s">
        <v>8</v>
      </c>
      <c r="C78" s="28">
        <f>SUM(C66:C77)</f>
        <v>9162834</v>
      </c>
      <c r="D78" s="28">
        <f t="shared" ref="D78" si="15">SUM(D66:D77)</f>
        <v>416492.45454545459</v>
      </c>
      <c r="E78" s="29">
        <f>SUM(E66:E77)-E76</f>
        <v>59.077908043080377</v>
      </c>
      <c r="F78" s="29">
        <f>SUM(F66:F77)-F76</f>
        <v>59.077908043080377</v>
      </c>
      <c r="G78" s="14"/>
      <c r="H78" s="19"/>
    </row>
    <row r="79" spans="2:8" x14ac:dyDescent="0.25">
      <c r="B79" s="26" t="s">
        <v>30</v>
      </c>
      <c r="C79" s="14"/>
      <c r="D79" s="14"/>
      <c r="E79" s="16"/>
      <c r="F79" s="15">
        <v>12.92</v>
      </c>
      <c r="G79" s="14"/>
      <c r="H79" s="19"/>
    </row>
    <row r="80" spans="2:8" x14ac:dyDescent="0.25">
      <c r="B80" s="26" t="s">
        <v>31</v>
      </c>
      <c r="C80" s="14"/>
      <c r="D80" s="14"/>
      <c r="E80" s="16"/>
      <c r="F80" s="14">
        <v>19.600000000000001</v>
      </c>
      <c r="G80" s="14"/>
      <c r="H80" s="19"/>
    </row>
    <row r="81" spans="2:8" x14ac:dyDescent="0.25">
      <c r="B81" s="26" t="s">
        <v>36</v>
      </c>
      <c r="C81" s="14"/>
      <c r="D81" s="14"/>
      <c r="E81" s="16"/>
      <c r="F81" s="15">
        <v>37.409999999999997</v>
      </c>
      <c r="G81" s="14"/>
      <c r="H81" s="19"/>
    </row>
    <row r="82" spans="2:8" ht="16.5" thickBot="1" x14ac:dyDescent="0.3">
      <c r="B82" s="23" t="s">
        <v>33</v>
      </c>
      <c r="C82" s="24"/>
      <c r="D82" s="24"/>
      <c r="E82" s="25"/>
      <c r="F82" s="25">
        <f>+F81+F80+F79+F78</f>
        <v>129.00790804308036</v>
      </c>
      <c r="G82" s="21"/>
      <c r="H82" s="22"/>
    </row>
    <row r="83" spans="2:8" ht="15.75" thickBot="1" x14ac:dyDescent="0.3"/>
    <row r="84" spans="2:8" ht="15.75" thickBot="1" x14ac:dyDescent="0.3">
      <c r="B84" s="168" t="s">
        <v>85</v>
      </c>
      <c r="C84" s="169"/>
      <c r="D84" s="169"/>
      <c r="E84" s="169"/>
      <c r="F84" s="170"/>
      <c r="G84" s="12" t="s">
        <v>0</v>
      </c>
      <c r="H84" s="12" t="s">
        <v>2</v>
      </c>
    </row>
    <row r="85" spans="2:8" ht="15.75" thickBot="1" x14ac:dyDescent="0.3">
      <c r="B85" s="49" t="s">
        <v>55</v>
      </c>
      <c r="C85" s="50" t="s">
        <v>4</v>
      </c>
      <c r="D85" s="50" t="s">
        <v>3</v>
      </c>
      <c r="E85" s="50" t="s">
        <v>24</v>
      </c>
      <c r="F85" s="50" t="s">
        <v>38</v>
      </c>
      <c r="G85" s="50">
        <v>222812</v>
      </c>
      <c r="H85" s="50">
        <v>204827</v>
      </c>
    </row>
    <row r="86" spans="2:8" x14ac:dyDescent="0.25">
      <c r="B86" s="42" t="s">
        <v>51</v>
      </c>
      <c r="C86" s="46">
        <v>1518268</v>
      </c>
      <c r="D86" s="43">
        <v>48976.387096774197</v>
      </c>
      <c r="E86" s="43">
        <v>6.8141213220113821</v>
      </c>
      <c r="F86" s="43">
        <v>6.8141213220113821</v>
      </c>
      <c r="G86" s="47"/>
      <c r="H86" s="48"/>
    </row>
    <row r="87" spans="2:8" x14ac:dyDescent="0.25">
      <c r="B87" s="18" t="s">
        <v>52</v>
      </c>
      <c r="C87" s="13">
        <v>1439714</v>
      </c>
      <c r="D87" s="15">
        <v>46442.387096774197</v>
      </c>
      <c r="E87" s="15">
        <v>7.0289268504640505</v>
      </c>
      <c r="F87" s="15">
        <v>7.0289268504640505</v>
      </c>
      <c r="G87" s="14"/>
      <c r="H87" s="19"/>
    </row>
    <row r="88" spans="2:8" x14ac:dyDescent="0.25">
      <c r="B88" s="20" t="s">
        <v>53</v>
      </c>
      <c r="C88" s="13">
        <v>1590878</v>
      </c>
      <c r="D88" s="15">
        <v>51318.645161290326</v>
      </c>
      <c r="E88" s="15">
        <v>7.1400014361883573</v>
      </c>
      <c r="F88" s="15">
        <v>7.1400014361883564</v>
      </c>
      <c r="G88" s="14"/>
      <c r="H88" s="19"/>
    </row>
    <row r="89" spans="2:8" x14ac:dyDescent="0.25">
      <c r="B89" s="20" t="s">
        <v>10</v>
      </c>
      <c r="C89" s="13">
        <v>244295</v>
      </c>
      <c r="D89" s="15">
        <v>7880.4838709677415</v>
      </c>
      <c r="E89" s="15">
        <v>1.0964176076692458</v>
      </c>
      <c r="F89" s="15">
        <v>1.0964176076692458</v>
      </c>
      <c r="G89" s="14"/>
      <c r="H89" s="19"/>
    </row>
    <row r="90" spans="2:8" x14ac:dyDescent="0.25">
      <c r="B90" s="20" t="s">
        <v>9</v>
      </c>
      <c r="C90" s="13">
        <v>600000</v>
      </c>
      <c r="D90" s="15">
        <v>19354.83870967742</v>
      </c>
      <c r="E90" s="15">
        <v>2.692853167692943</v>
      </c>
      <c r="F90" s="15">
        <v>2.692853167692943</v>
      </c>
      <c r="G90" s="14"/>
      <c r="H90" s="19"/>
    </row>
    <row r="91" spans="2:8" x14ac:dyDescent="0.25">
      <c r="B91" s="18" t="s">
        <v>15</v>
      </c>
      <c r="C91" s="13">
        <v>230250</v>
      </c>
      <c r="D91" s="15">
        <v>7427.4193548387093</v>
      </c>
      <c r="E91" s="15">
        <v>1.0333824031021668</v>
      </c>
      <c r="F91" s="15">
        <v>1.0333824031021668</v>
      </c>
      <c r="G91" s="14"/>
      <c r="H91" s="19"/>
    </row>
    <row r="92" spans="2:8" x14ac:dyDescent="0.25">
      <c r="B92" s="18" t="s">
        <v>16</v>
      </c>
      <c r="C92" s="13">
        <v>4500</v>
      </c>
      <c r="D92" s="15">
        <v>145.16129032258064</v>
      </c>
      <c r="E92" s="15">
        <v>2.0196398757697073E-2</v>
      </c>
      <c r="F92" s="15">
        <v>2.0196398757697073E-2</v>
      </c>
      <c r="G92" s="14"/>
      <c r="H92" s="19"/>
    </row>
    <row r="93" spans="2:8" x14ac:dyDescent="0.25">
      <c r="B93" s="18" t="s">
        <v>17</v>
      </c>
      <c r="C93" s="13">
        <v>388900</v>
      </c>
      <c r="D93" s="15">
        <v>12545.161290322581</v>
      </c>
      <c r="E93" s="15">
        <v>1.7454176615263095</v>
      </c>
      <c r="F93" s="15">
        <v>1.7454176615263093</v>
      </c>
      <c r="G93" s="14"/>
      <c r="H93" s="19"/>
    </row>
    <row r="94" spans="2:8" x14ac:dyDescent="0.25">
      <c r="B94" s="18" t="s">
        <v>18</v>
      </c>
      <c r="C94" s="13">
        <v>462200</v>
      </c>
      <c r="D94" s="15">
        <v>14909.677419354839</v>
      </c>
      <c r="E94" s="15">
        <v>2.0743945568461308</v>
      </c>
      <c r="F94" s="15">
        <v>2.0743945568461304</v>
      </c>
      <c r="G94" s="14"/>
      <c r="H94" s="19"/>
    </row>
    <row r="95" spans="2:8" x14ac:dyDescent="0.25">
      <c r="B95" s="18" t="s">
        <v>20</v>
      </c>
      <c r="C95" s="13">
        <v>459713</v>
      </c>
      <c r="D95" s="15">
        <v>14829.451612903225</v>
      </c>
      <c r="E95" s="15">
        <v>2.0632326804660432</v>
      </c>
      <c r="F95" s="15">
        <v>2.0632326804660432</v>
      </c>
      <c r="G95" s="14"/>
      <c r="H95" s="19"/>
    </row>
    <row r="96" spans="2:8" x14ac:dyDescent="0.25">
      <c r="B96" s="18" t="s">
        <v>23</v>
      </c>
      <c r="C96" s="13">
        <v>3417682</v>
      </c>
      <c r="D96" s="15">
        <v>110247.80645161291</v>
      </c>
      <c r="E96" s="15">
        <v>15.338859666445256</v>
      </c>
      <c r="F96" s="15">
        <v>15.338859666445254</v>
      </c>
      <c r="G96" s="14"/>
      <c r="H96" s="19"/>
    </row>
    <row r="97" spans="2:8" x14ac:dyDescent="0.25">
      <c r="B97" s="18" t="s">
        <v>19</v>
      </c>
      <c r="C97" s="13">
        <v>389358</v>
      </c>
      <c r="D97" s="15">
        <v>12559.935483870968</v>
      </c>
      <c r="E97" s="15">
        <v>1.7474732061109814</v>
      </c>
      <c r="F97" s="15">
        <v>1.7474732061109814</v>
      </c>
      <c r="G97" s="14"/>
      <c r="H97" s="19"/>
    </row>
    <row r="98" spans="2:8" x14ac:dyDescent="0.25">
      <c r="B98" s="27" t="s">
        <v>8</v>
      </c>
      <c r="C98" s="28">
        <f>SUM(C86:C97)</f>
        <v>10745758</v>
      </c>
      <c r="D98" s="28">
        <f t="shared" ref="D98" si="16">SUM(D86:D97)</f>
        <v>346637.35483870964</v>
      </c>
      <c r="E98" s="29">
        <f>SUM(E86:E97)-E96</f>
        <v>33.456417290835304</v>
      </c>
      <c r="F98" s="29">
        <f>SUM(F86:F97)-F96</f>
        <v>33.456417290835311</v>
      </c>
      <c r="G98" s="14"/>
      <c r="H98" s="19"/>
    </row>
    <row r="99" spans="2:8" x14ac:dyDescent="0.25">
      <c r="B99" s="26" t="s">
        <v>30</v>
      </c>
      <c r="C99" s="14"/>
      <c r="D99" s="14"/>
      <c r="E99" s="16"/>
      <c r="F99" s="15">
        <v>7.37</v>
      </c>
      <c r="G99" s="14"/>
      <c r="H99" s="19"/>
    </row>
    <row r="100" spans="2:8" x14ac:dyDescent="0.25">
      <c r="B100" s="26" t="s">
        <v>31</v>
      </c>
      <c r="C100" s="14"/>
      <c r="D100" s="14"/>
      <c r="E100" s="16"/>
      <c r="F100" s="14">
        <v>9.58</v>
      </c>
      <c r="G100" s="14"/>
      <c r="H100" s="19"/>
    </row>
    <row r="101" spans="2:8" x14ac:dyDescent="0.25">
      <c r="B101" s="26" t="s">
        <v>36</v>
      </c>
      <c r="C101" s="14"/>
      <c r="D101" s="14"/>
      <c r="E101" s="16"/>
      <c r="F101" s="15">
        <v>12.78</v>
      </c>
      <c r="G101" s="14"/>
      <c r="H101" s="19"/>
    </row>
    <row r="102" spans="2:8" ht="16.5" thickBot="1" x14ac:dyDescent="0.3">
      <c r="B102" s="23" t="s">
        <v>33</v>
      </c>
      <c r="C102" s="24"/>
      <c r="D102" s="24"/>
      <c r="E102" s="25"/>
      <c r="F102" s="25">
        <f>+F101+F100+F99+F98</f>
        <v>63.186417290835308</v>
      </c>
      <c r="G102" s="21"/>
      <c r="H102" s="22"/>
    </row>
    <row r="103" spans="2:8" ht="15.75" thickBot="1" x14ac:dyDescent="0.3"/>
    <row r="104" spans="2:8" ht="15.75" thickBot="1" x14ac:dyDescent="0.3">
      <c r="B104" s="168" t="s">
        <v>70</v>
      </c>
      <c r="C104" s="169"/>
      <c r="D104" s="169"/>
      <c r="E104" s="169"/>
      <c r="F104" s="170"/>
      <c r="G104" s="12" t="s">
        <v>0</v>
      </c>
      <c r="H104" s="12" t="s">
        <v>2</v>
      </c>
    </row>
    <row r="105" spans="2:8" ht="15.75" thickBot="1" x14ac:dyDescent="0.3">
      <c r="B105" s="49" t="s">
        <v>55</v>
      </c>
      <c r="C105" s="50" t="s">
        <v>4</v>
      </c>
      <c r="D105" s="50" t="s">
        <v>3</v>
      </c>
      <c r="E105" s="50" t="s">
        <v>24</v>
      </c>
      <c r="F105" s="50" t="s">
        <v>38</v>
      </c>
      <c r="G105" s="50">
        <v>136837.31000000006</v>
      </c>
      <c r="H105" s="50">
        <v>146559.50999999998</v>
      </c>
    </row>
    <row r="106" spans="2:8" x14ac:dyDescent="0.25">
      <c r="B106" s="42" t="s">
        <v>51</v>
      </c>
      <c r="C106" s="46">
        <v>1221019</v>
      </c>
      <c r="D106" s="43">
        <v>53087.782608695656</v>
      </c>
      <c r="E106" s="43">
        <v>8.9231438413982236</v>
      </c>
      <c r="F106" s="43">
        <v>8.9231438413982236</v>
      </c>
      <c r="G106" s="47"/>
      <c r="H106" s="48"/>
    </row>
    <row r="107" spans="2:8" x14ac:dyDescent="0.25">
      <c r="B107" s="18" t="s">
        <v>52</v>
      </c>
      <c r="C107" s="13">
        <v>1284000</v>
      </c>
      <c r="D107" s="15">
        <v>55826.086956521736</v>
      </c>
      <c r="E107" s="15">
        <v>8.7609463213953163</v>
      </c>
      <c r="F107" s="15">
        <v>8.7609463213953163</v>
      </c>
      <c r="G107" s="14"/>
      <c r="H107" s="19"/>
    </row>
    <row r="108" spans="2:8" x14ac:dyDescent="0.25">
      <c r="B108" s="20" t="s">
        <v>53</v>
      </c>
      <c r="C108" s="13">
        <v>1328181</v>
      </c>
      <c r="D108" s="15">
        <v>57747</v>
      </c>
      <c r="E108" s="15">
        <v>9.7062782073105609</v>
      </c>
      <c r="F108" s="15">
        <v>9.7062782073105609</v>
      </c>
      <c r="G108" s="14"/>
      <c r="H108" s="19"/>
    </row>
    <row r="109" spans="2:8" x14ac:dyDescent="0.25">
      <c r="B109" s="20" t="s">
        <v>10</v>
      </c>
      <c r="C109" s="13">
        <v>90162</v>
      </c>
      <c r="D109" s="15">
        <v>3920.086956521739</v>
      </c>
      <c r="E109" s="15">
        <v>0.65889924319617188</v>
      </c>
      <c r="F109" s="15">
        <v>0.65889924319617188</v>
      </c>
      <c r="G109" s="14"/>
      <c r="H109" s="19"/>
    </row>
    <row r="110" spans="2:8" x14ac:dyDescent="0.25">
      <c r="B110" s="20" t="s">
        <v>9</v>
      </c>
      <c r="C110" s="13">
        <v>600000</v>
      </c>
      <c r="D110" s="15">
        <v>26086.956521739132</v>
      </c>
      <c r="E110" s="15">
        <v>4.3847690370411385</v>
      </c>
      <c r="F110" s="15">
        <v>4.3847690370411385</v>
      </c>
      <c r="G110" s="14"/>
      <c r="H110" s="19"/>
    </row>
    <row r="111" spans="2:8" x14ac:dyDescent="0.25">
      <c r="B111" s="18" t="s">
        <v>15</v>
      </c>
      <c r="C111" s="13">
        <v>246000</v>
      </c>
      <c r="D111" s="15">
        <v>10695.652173913044</v>
      </c>
      <c r="E111" s="15">
        <v>1.7977553051868669</v>
      </c>
      <c r="F111" s="15">
        <v>1.7977553051868669</v>
      </c>
      <c r="G111" s="14"/>
      <c r="H111" s="19"/>
    </row>
    <row r="112" spans="2:8" x14ac:dyDescent="0.25">
      <c r="B112" s="18" t="s">
        <v>16</v>
      </c>
      <c r="C112" s="13">
        <v>4500</v>
      </c>
      <c r="D112" s="15">
        <v>195.65217391304347</v>
      </c>
      <c r="E112" s="15">
        <v>3.2885767777808536E-2</v>
      </c>
      <c r="F112" s="15">
        <v>3.2885767777808536E-2</v>
      </c>
      <c r="G112" s="14"/>
      <c r="H112" s="19"/>
    </row>
    <row r="113" spans="2:8" x14ac:dyDescent="0.25">
      <c r="B113" s="18" t="s">
        <v>17</v>
      </c>
      <c r="C113" s="13">
        <v>416676</v>
      </c>
      <c r="D113" s="15">
        <v>18116.347826086956</v>
      </c>
      <c r="E113" s="15">
        <v>3.045046705463589</v>
      </c>
      <c r="F113" s="15">
        <v>3.045046705463589</v>
      </c>
      <c r="G113" s="14"/>
      <c r="H113" s="19"/>
    </row>
    <row r="114" spans="2:8" x14ac:dyDescent="0.25">
      <c r="B114" s="18" t="s">
        <v>18</v>
      </c>
      <c r="C114" s="13">
        <v>282100</v>
      </c>
      <c r="D114" s="15">
        <v>12265.217391304348</v>
      </c>
      <c r="E114" s="15">
        <v>2.0615722422488418</v>
      </c>
      <c r="F114" s="15">
        <v>2.0615722422488418</v>
      </c>
      <c r="G114" s="14"/>
      <c r="H114" s="19"/>
    </row>
    <row r="115" spans="2:8" x14ac:dyDescent="0.25">
      <c r="B115" s="18" t="s">
        <v>20</v>
      </c>
      <c r="C115" s="13">
        <v>296378</v>
      </c>
      <c r="D115" s="15">
        <v>12886</v>
      </c>
      <c r="E115" s="15">
        <v>2.165915129433631</v>
      </c>
      <c r="F115" s="15">
        <v>2.165915129433631</v>
      </c>
      <c r="G115" s="14"/>
      <c r="H115" s="19"/>
    </row>
    <row r="116" spans="2:8" x14ac:dyDescent="0.25">
      <c r="B116" s="18" t="s">
        <v>23</v>
      </c>
      <c r="C116" s="13">
        <v>1626915</v>
      </c>
      <c r="D116" s="15">
        <v>70735.434782608689</v>
      </c>
      <c r="E116" s="15">
        <v>11.889410863162972</v>
      </c>
      <c r="F116" s="15">
        <v>11.889410863162974</v>
      </c>
      <c r="G116" s="14"/>
      <c r="H116" s="19"/>
    </row>
    <row r="117" spans="2:8" x14ac:dyDescent="0.25">
      <c r="B117" s="18" t="s">
        <v>19</v>
      </c>
      <c r="C117" s="13">
        <v>236706</v>
      </c>
      <c r="D117" s="15">
        <v>10291.565217391304</v>
      </c>
      <c r="E117" s="15">
        <v>1.7298352328030995</v>
      </c>
      <c r="F117" s="15">
        <v>1.7298352328030995</v>
      </c>
      <c r="G117" s="14"/>
      <c r="H117" s="19"/>
    </row>
    <row r="118" spans="2:8" x14ac:dyDescent="0.25">
      <c r="B118" s="27" t="s">
        <v>8</v>
      </c>
      <c r="C118" s="28">
        <v>7632637</v>
      </c>
      <c r="D118" s="28">
        <v>331853.78260869568</v>
      </c>
      <c r="E118" s="29">
        <v>43.267047033255245</v>
      </c>
      <c r="F118" s="29">
        <v>43.267047033255245</v>
      </c>
      <c r="G118" s="14"/>
      <c r="H118" s="19"/>
    </row>
    <row r="119" spans="2:8" x14ac:dyDescent="0.25">
      <c r="B119" s="26" t="s">
        <v>30</v>
      </c>
      <c r="C119" s="14"/>
      <c r="D119" s="14"/>
      <c r="E119" s="16"/>
      <c r="F119" s="15">
        <v>9.42</v>
      </c>
      <c r="G119" s="14"/>
      <c r="H119" s="19"/>
    </row>
    <row r="120" spans="2:8" x14ac:dyDescent="0.25">
      <c r="B120" s="26" t="s">
        <v>31</v>
      </c>
      <c r="C120" s="14"/>
      <c r="D120" s="14"/>
      <c r="E120" s="16"/>
      <c r="F120" s="14">
        <v>10.42</v>
      </c>
      <c r="G120" s="14"/>
      <c r="H120" s="19"/>
    </row>
    <row r="121" spans="2:8" x14ac:dyDescent="0.25">
      <c r="B121" s="26" t="s">
        <v>32</v>
      </c>
      <c r="C121" s="14"/>
      <c r="D121" s="14"/>
      <c r="E121" s="16"/>
      <c r="F121" s="15">
        <v>29.17</v>
      </c>
      <c r="G121" s="14"/>
      <c r="H121" s="19"/>
    </row>
    <row r="122" spans="2:8" ht="16.5" thickBot="1" x14ac:dyDescent="0.3">
      <c r="B122" s="23" t="s">
        <v>33</v>
      </c>
      <c r="C122" s="24"/>
      <c r="D122" s="24"/>
      <c r="E122" s="25"/>
      <c r="F122" s="25">
        <v>92.277047033255258</v>
      </c>
      <c r="G122" s="21"/>
      <c r="H122" s="22"/>
    </row>
    <row r="123" spans="2:8" ht="15.75" thickBot="1" x14ac:dyDescent="0.3"/>
    <row r="124" spans="2:8" ht="15.75" thickBot="1" x14ac:dyDescent="0.3">
      <c r="B124" s="168" t="s">
        <v>76</v>
      </c>
      <c r="C124" s="169"/>
      <c r="D124" s="169"/>
      <c r="E124" s="169"/>
      <c r="F124" s="170"/>
      <c r="G124" s="12" t="s">
        <v>0</v>
      </c>
      <c r="H124" s="12" t="s">
        <v>2</v>
      </c>
    </row>
    <row r="125" spans="2:8" ht="15.75" thickBot="1" x14ac:dyDescent="0.3">
      <c r="B125" s="49" t="s">
        <v>55</v>
      </c>
      <c r="C125" s="50" t="s">
        <v>4</v>
      </c>
      <c r="D125" s="50" t="s">
        <v>3</v>
      </c>
      <c r="E125" s="50" t="s">
        <v>24</v>
      </c>
      <c r="F125" s="50" t="s">
        <v>38</v>
      </c>
      <c r="G125" s="50">
        <v>1191800.9999999998</v>
      </c>
      <c r="H125" s="50">
        <v>1218235.0000000002</v>
      </c>
    </row>
    <row r="126" spans="2:8" x14ac:dyDescent="0.25">
      <c r="B126" s="42" t="s">
        <v>51</v>
      </c>
      <c r="C126" s="46">
        <v>1191801</v>
      </c>
      <c r="D126" s="43">
        <v>39726.699999999997</v>
      </c>
      <c r="E126" s="43">
        <v>9.5287060223162445</v>
      </c>
      <c r="F126" s="43">
        <v>9.5287060223162463</v>
      </c>
      <c r="G126" s="47"/>
      <c r="H126" s="48"/>
    </row>
    <row r="127" spans="2:8" x14ac:dyDescent="0.25">
      <c r="B127" s="18" t="s">
        <v>52</v>
      </c>
      <c r="C127" s="13">
        <v>1218235</v>
      </c>
      <c r="D127" s="15">
        <v>40607.833333333336</v>
      </c>
      <c r="E127" s="15">
        <v>9.6873274678258685</v>
      </c>
      <c r="F127" s="15">
        <v>9.6873274678258667</v>
      </c>
      <c r="G127" s="14"/>
      <c r="H127" s="19"/>
    </row>
    <row r="128" spans="2:8" x14ac:dyDescent="0.25">
      <c r="B128" s="20" t="s">
        <v>53</v>
      </c>
      <c r="C128" s="13">
        <v>1229813</v>
      </c>
      <c r="D128" s="15">
        <v>40993.76666666667</v>
      </c>
      <c r="E128" s="15">
        <v>9.8326201600961998</v>
      </c>
      <c r="F128" s="15">
        <v>9.8326201600961998</v>
      </c>
      <c r="G128" s="14"/>
      <c r="H128" s="19"/>
    </row>
    <row r="129" spans="2:8" x14ac:dyDescent="0.25">
      <c r="B129" s="20" t="s">
        <v>10</v>
      </c>
      <c r="C129" s="13">
        <v>66737</v>
      </c>
      <c r="D129" s="15">
        <v>2224.5666666666666</v>
      </c>
      <c r="E129" s="15">
        <v>0.53357670769811349</v>
      </c>
      <c r="F129" s="15">
        <v>0.53357670769811349</v>
      </c>
      <c r="G129" s="14"/>
      <c r="H129" s="19"/>
    </row>
    <row r="130" spans="2:8" x14ac:dyDescent="0.25">
      <c r="B130" s="20" t="s">
        <v>9</v>
      </c>
      <c r="C130" s="13">
        <v>600000</v>
      </c>
      <c r="D130" s="15">
        <v>20000</v>
      </c>
      <c r="E130" s="15">
        <v>4.7971293977683755</v>
      </c>
      <c r="F130" s="15">
        <v>4.7971293977683755</v>
      </c>
      <c r="G130" s="14"/>
      <c r="H130" s="19"/>
    </row>
    <row r="131" spans="2:8" x14ac:dyDescent="0.25">
      <c r="B131" s="18" t="s">
        <v>15</v>
      </c>
      <c r="C131" s="13">
        <v>103900</v>
      </c>
      <c r="D131" s="15">
        <v>3463.3333333333335</v>
      </c>
      <c r="E131" s="15">
        <v>0.8307029073802239</v>
      </c>
      <c r="F131" s="15">
        <v>0.83070290738022379</v>
      </c>
      <c r="G131" s="14"/>
      <c r="H131" s="19"/>
    </row>
    <row r="132" spans="2:8" x14ac:dyDescent="0.25">
      <c r="B132" s="18" t="s">
        <v>16</v>
      </c>
      <c r="C132" s="13">
        <v>3200</v>
      </c>
      <c r="D132" s="15">
        <v>106.66666666666667</v>
      </c>
      <c r="E132" s="15">
        <v>2.5584690121431341E-2</v>
      </c>
      <c r="F132" s="15">
        <v>2.5584690121431337E-2</v>
      </c>
      <c r="G132" s="14"/>
      <c r="H132" s="19"/>
    </row>
    <row r="133" spans="2:8" x14ac:dyDescent="0.25">
      <c r="B133" s="18" t="s">
        <v>17</v>
      </c>
      <c r="C133" s="13">
        <v>181400</v>
      </c>
      <c r="D133" s="15">
        <v>6046.666666666667</v>
      </c>
      <c r="E133" s="15">
        <v>1.4503321212586393</v>
      </c>
      <c r="F133" s="15">
        <v>1.4503321212586389</v>
      </c>
      <c r="G133" s="14"/>
      <c r="H133" s="19"/>
    </row>
    <row r="134" spans="2:8" x14ac:dyDescent="0.25">
      <c r="B134" s="18" t="s">
        <v>18</v>
      </c>
      <c r="C134" s="13">
        <v>377700</v>
      </c>
      <c r="D134" s="15">
        <v>12590</v>
      </c>
      <c r="E134" s="15">
        <v>3.0197929558951926</v>
      </c>
      <c r="F134" s="15">
        <v>3.0197929558951926</v>
      </c>
      <c r="G134" s="14"/>
      <c r="H134" s="19"/>
    </row>
    <row r="135" spans="2:8" x14ac:dyDescent="0.25">
      <c r="B135" s="18" t="s">
        <v>20</v>
      </c>
      <c r="C135" s="13">
        <v>623695</v>
      </c>
      <c r="D135" s="15">
        <v>20789.833333333332</v>
      </c>
      <c r="E135" s="15">
        <v>4.9865760329019109</v>
      </c>
      <c r="F135" s="15">
        <v>4.9865760329019118</v>
      </c>
      <c r="G135" s="14"/>
      <c r="H135" s="19"/>
    </row>
    <row r="136" spans="2:8" x14ac:dyDescent="0.25">
      <c r="B136" s="18" t="s">
        <v>23</v>
      </c>
      <c r="C136" s="13">
        <v>1320849</v>
      </c>
      <c r="D136" s="15">
        <v>44028.3</v>
      </c>
      <c r="E136" s="15">
        <v>10.560472613188271</v>
      </c>
      <c r="F136" s="15">
        <v>10.560472613188269</v>
      </c>
      <c r="G136" s="14"/>
      <c r="H136" s="19"/>
    </row>
    <row r="137" spans="2:8" x14ac:dyDescent="0.25">
      <c r="B137" s="18" t="s">
        <v>19</v>
      </c>
      <c r="C137" s="13"/>
      <c r="D137" s="15">
        <v>0</v>
      </c>
      <c r="E137" s="15">
        <v>0</v>
      </c>
      <c r="F137" s="15">
        <v>0</v>
      </c>
      <c r="G137" s="14"/>
      <c r="H137" s="19"/>
    </row>
    <row r="138" spans="2:8" x14ac:dyDescent="0.25">
      <c r="B138" s="27" t="s">
        <v>8</v>
      </c>
      <c r="C138" s="28">
        <f>SUM(C126:C137)</f>
        <v>6917330</v>
      </c>
      <c r="D138" s="28">
        <f t="shared" ref="D138" si="17">SUM(D126:D137)</f>
        <v>230577.66666666663</v>
      </c>
      <c r="E138" s="29">
        <f>SUM(E126:E137)-E136</f>
        <v>44.692348463262206</v>
      </c>
      <c r="F138" s="29">
        <f>SUM(F126:F137)-F136</f>
        <v>44.692348463262206</v>
      </c>
      <c r="G138" s="14"/>
      <c r="H138" s="19"/>
    </row>
    <row r="139" spans="2:8" x14ac:dyDescent="0.25">
      <c r="B139" s="26" t="s">
        <v>30</v>
      </c>
      <c r="C139" s="14"/>
      <c r="D139" s="14"/>
      <c r="E139" s="16"/>
      <c r="F139" s="15">
        <v>12.94</v>
      </c>
      <c r="G139" s="14"/>
      <c r="H139" s="19"/>
    </row>
    <row r="140" spans="2:8" x14ac:dyDescent="0.25">
      <c r="B140" s="26" t="s">
        <v>31</v>
      </c>
      <c r="C140" s="14"/>
      <c r="D140" s="14"/>
      <c r="E140" s="16"/>
      <c r="F140" s="14">
        <v>11.49</v>
      </c>
      <c r="G140" s="14"/>
      <c r="H140" s="19"/>
    </row>
    <row r="141" spans="2:8" x14ac:dyDescent="0.25">
      <c r="B141" s="26" t="s">
        <v>32</v>
      </c>
      <c r="C141" s="14"/>
      <c r="D141" s="14"/>
      <c r="E141" s="16"/>
      <c r="F141" s="15">
        <v>28.16</v>
      </c>
      <c r="G141" s="14"/>
      <c r="H141" s="19"/>
    </row>
    <row r="142" spans="2:8" ht="16.5" thickBot="1" x14ac:dyDescent="0.3">
      <c r="B142" s="23" t="s">
        <v>33</v>
      </c>
      <c r="C142" s="24"/>
      <c r="D142" s="24"/>
      <c r="E142" s="25"/>
      <c r="F142" s="25">
        <v>97.282348463262196</v>
      </c>
      <c r="G142" s="21"/>
      <c r="H142" s="22"/>
    </row>
    <row r="143" spans="2:8" ht="15.75" thickBot="1" x14ac:dyDescent="0.3"/>
    <row r="144" spans="2:8" ht="15.75" thickBot="1" x14ac:dyDescent="0.3">
      <c r="B144" s="168" t="s">
        <v>78</v>
      </c>
      <c r="C144" s="169"/>
      <c r="D144" s="169"/>
      <c r="E144" s="169"/>
      <c r="F144" s="170"/>
      <c r="G144" s="12" t="s">
        <v>0</v>
      </c>
      <c r="H144" s="12" t="s">
        <v>2</v>
      </c>
    </row>
    <row r="145" spans="2:8" ht="15.75" thickBot="1" x14ac:dyDescent="0.3">
      <c r="B145" s="49" t="s">
        <v>55</v>
      </c>
      <c r="C145" s="50" t="s">
        <v>4</v>
      </c>
      <c r="D145" s="50" t="s">
        <v>3</v>
      </c>
      <c r="E145" s="50" t="s">
        <v>24</v>
      </c>
      <c r="F145" s="50" t="s">
        <v>38</v>
      </c>
      <c r="G145" s="50">
        <v>1239020</v>
      </c>
      <c r="H145" s="50">
        <v>1337730</v>
      </c>
    </row>
    <row r="146" spans="2:8" x14ac:dyDescent="0.25">
      <c r="B146" s="42" t="s">
        <v>51</v>
      </c>
      <c r="C146" s="46">
        <v>1239020</v>
      </c>
      <c r="D146" s="43">
        <v>47654.615384615383</v>
      </c>
      <c r="E146" s="43">
        <v>9.9681655399965372</v>
      </c>
      <c r="F146" s="43">
        <v>9.9681655399965372</v>
      </c>
      <c r="G146" s="47"/>
      <c r="H146" s="48"/>
    </row>
    <row r="147" spans="2:8" x14ac:dyDescent="0.25">
      <c r="B147" s="18" t="s">
        <v>52</v>
      </c>
      <c r="C147" s="13">
        <v>1337730</v>
      </c>
      <c r="D147" s="15">
        <v>51451.153846153844</v>
      </c>
      <c r="E147" s="15">
        <v>10.321811542623681</v>
      </c>
      <c r="F147" s="15">
        <v>10.321811542623681</v>
      </c>
      <c r="G147" s="14"/>
      <c r="H147" s="19"/>
    </row>
    <row r="148" spans="2:8" x14ac:dyDescent="0.25">
      <c r="B148" s="20" t="s">
        <v>53</v>
      </c>
      <c r="C148" s="13">
        <v>1256505</v>
      </c>
      <c r="D148" s="15">
        <v>48327.115384615383</v>
      </c>
      <c r="E148" s="15">
        <v>10.108835887906045</v>
      </c>
      <c r="F148" s="15">
        <v>10.108835887906045</v>
      </c>
      <c r="G148" s="14"/>
      <c r="H148" s="19"/>
    </row>
    <row r="149" spans="2:8" x14ac:dyDescent="0.25">
      <c r="B149" s="20" t="s">
        <v>10</v>
      </c>
      <c r="C149" s="13">
        <v>68381</v>
      </c>
      <c r="D149" s="15">
        <v>2630.0384615384614</v>
      </c>
      <c r="E149" s="15">
        <v>0.55013892252788754</v>
      </c>
      <c r="F149" s="15">
        <v>0.55013892252788754</v>
      </c>
      <c r="G149" s="14"/>
      <c r="H149" s="19"/>
    </row>
    <row r="150" spans="2:8" x14ac:dyDescent="0.25">
      <c r="B150" s="20" t="s">
        <v>9</v>
      </c>
      <c r="C150" s="13">
        <v>600000</v>
      </c>
      <c r="D150" s="15">
        <v>23076.923076923078</v>
      </c>
      <c r="E150" s="15">
        <v>4.8271208890880875</v>
      </c>
      <c r="F150" s="15">
        <v>4.8271208890880875</v>
      </c>
      <c r="G150" s="14"/>
      <c r="H150" s="19"/>
    </row>
    <row r="151" spans="2:8" x14ac:dyDescent="0.25">
      <c r="B151" s="18" t="s">
        <v>15</v>
      </c>
      <c r="C151" s="13">
        <v>30600</v>
      </c>
      <c r="D151" s="15">
        <v>1176.9230769230769</v>
      </c>
      <c r="E151" s="15">
        <v>0.24618316534349244</v>
      </c>
      <c r="F151" s="15">
        <v>0.24618316534349244</v>
      </c>
      <c r="G151" s="14"/>
      <c r="H151" s="19"/>
    </row>
    <row r="152" spans="2:8" x14ac:dyDescent="0.25">
      <c r="B152" s="18" t="s">
        <v>16</v>
      </c>
      <c r="C152" s="13">
        <v>23700</v>
      </c>
      <c r="D152" s="15">
        <v>911.53846153846155</v>
      </c>
      <c r="E152" s="15">
        <v>0.19067127511897944</v>
      </c>
      <c r="F152" s="15">
        <v>0.19067127511897944</v>
      </c>
      <c r="G152" s="14"/>
      <c r="H152" s="19"/>
    </row>
    <row r="153" spans="2:8" x14ac:dyDescent="0.25">
      <c r="B153" s="18" t="s">
        <v>17</v>
      </c>
      <c r="C153" s="13">
        <v>747415</v>
      </c>
      <c r="D153" s="15">
        <v>28746.73076923077</v>
      </c>
      <c r="E153" s="15">
        <v>6.0131042655296216</v>
      </c>
      <c r="F153" s="15">
        <v>2.82</v>
      </c>
      <c r="G153" s="14"/>
      <c r="H153" s="19"/>
    </row>
    <row r="154" spans="2:8" x14ac:dyDescent="0.25">
      <c r="B154" s="18" t="s">
        <v>18</v>
      </c>
      <c r="C154" s="13">
        <v>536900</v>
      </c>
      <c r="D154" s="15">
        <v>20650</v>
      </c>
      <c r="E154" s="15">
        <v>4.3194686755856564</v>
      </c>
      <c r="F154" s="15">
        <v>4.3194686755856564</v>
      </c>
      <c r="G154" s="14"/>
      <c r="H154" s="19"/>
    </row>
    <row r="155" spans="2:8" x14ac:dyDescent="0.25">
      <c r="B155" s="18" t="s">
        <v>20</v>
      </c>
      <c r="C155" s="13">
        <v>637487</v>
      </c>
      <c r="D155" s="15">
        <v>24518.73076923077</v>
      </c>
      <c r="E155" s="15">
        <v>5.1287113570368295</v>
      </c>
      <c r="F155" s="15">
        <v>5.1287113570368295</v>
      </c>
      <c r="G155" s="14"/>
      <c r="H155" s="19"/>
    </row>
    <row r="156" spans="2:8" x14ac:dyDescent="0.25">
      <c r="B156" s="18" t="s">
        <v>23</v>
      </c>
      <c r="C156" s="13">
        <v>4339705</v>
      </c>
      <c r="D156" s="15">
        <v>166911.73076923078</v>
      </c>
      <c r="E156" s="15">
        <v>34.913801096633364</v>
      </c>
      <c r="F156" s="15">
        <v>34.913801096633364</v>
      </c>
      <c r="G156" s="14"/>
      <c r="H156" s="19"/>
    </row>
    <row r="157" spans="2:8" x14ac:dyDescent="0.25">
      <c r="B157" s="18" t="s">
        <v>19</v>
      </c>
      <c r="C157" s="13">
        <v>156500</v>
      </c>
      <c r="D157" s="15">
        <v>6019.2307692307695</v>
      </c>
      <c r="E157" s="15">
        <v>1.2590740319038094</v>
      </c>
      <c r="F157" s="15">
        <v>1.2590740319038094</v>
      </c>
      <c r="G157" s="14"/>
      <c r="H157" s="19"/>
    </row>
    <row r="158" spans="2:8" x14ac:dyDescent="0.25">
      <c r="B158" s="27" t="s">
        <v>8</v>
      </c>
      <c r="C158" s="28">
        <v>10973943</v>
      </c>
      <c r="D158" s="28">
        <v>422074.73076923075</v>
      </c>
      <c r="E158" s="29">
        <v>52.933285552660621</v>
      </c>
      <c r="F158" s="29">
        <v>52.933285552660621</v>
      </c>
      <c r="G158" s="14"/>
      <c r="H158" s="19"/>
    </row>
    <row r="159" spans="2:8" x14ac:dyDescent="0.25">
      <c r="B159" s="26" t="s">
        <v>30</v>
      </c>
      <c r="C159" s="14"/>
      <c r="D159" s="14"/>
      <c r="E159" s="16"/>
      <c r="F159" s="15">
        <v>14.68</v>
      </c>
      <c r="G159" s="14"/>
      <c r="H159" s="19"/>
    </row>
    <row r="160" spans="2:8" x14ac:dyDescent="0.25">
      <c r="B160" s="26" t="s">
        <v>31</v>
      </c>
      <c r="C160" s="14"/>
      <c r="D160" s="14"/>
      <c r="E160" s="16"/>
      <c r="F160" s="14">
        <v>13.32</v>
      </c>
      <c r="G160" s="14"/>
      <c r="H160" s="19"/>
    </row>
    <row r="161" spans="2:8" x14ac:dyDescent="0.25">
      <c r="B161" s="26" t="s">
        <v>32</v>
      </c>
      <c r="C161" s="14"/>
      <c r="D161" s="14"/>
      <c r="E161" s="16"/>
      <c r="F161" s="15">
        <v>30.55</v>
      </c>
      <c r="G161" s="14"/>
      <c r="H161" s="19"/>
    </row>
    <row r="162" spans="2:8" ht="16.5" thickBot="1" x14ac:dyDescent="0.3">
      <c r="B162" s="23" t="s">
        <v>33</v>
      </c>
      <c r="C162" s="24"/>
      <c r="D162" s="24"/>
      <c r="E162" s="25"/>
      <c r="F162" s="25">
        <v>111.4832855526606</v>
      </c>
      <c r="G162" s="21"/>
      <c r="H162" s="22"/>
    </row>
    <row r="163" spans="2:8" ht="15.75" thickBot="1" x14ac:dyDescent="0.3"/>
    <row r="164" spans="2:8" ht="15.75" thickBot="1" x14ac:dyDescent="0.3">
      <c r="B164" s="168" t="s">
        <v>79</v>
      </c>
      <c r="C164" s="169"/>
      <c r="D164" s="169"/>
      <c r="E164" s="169"/>
      <c r="F164" s="170"/>
      <c r="G164" s="12" t="s">
        <v>0</v>
      </c>
      <c r="H164" s="12" t="s">
        <v>2</v>
      </c>
    </row>
    <row r="165" spans="2:8" ht="15.75" thickBot="1" x14ac:dyDescent="0.3">
      <c r="B165" s="49" t="s">
        <v>55</v>
      </c>
      <c r="C165" s="50" t="s">
        <v>4</v>
      </c>
      <c r="D165" s="50" t="s">
        <v>3</v>
      </c>
      <c r="E165" s="50" t="s">
        <v>24</v>
      </c>
      <c r="F165" s="50" t="s">
        <v>38</v>
      </c>
      <c r="G165" s="50">
        <v>151478.96799999999</v>
      </c>
      <c r="H165" s="50">
        <v>149883.96000000002</v>
      </c>
    </row>
    <row r="166" spans="2:8" x14ac:dyDescent="0.25">
      <c r="B166" s="42" t="s">
        <v>51</v>
      </c>
      <c r="C166" s="46">
        <v>1388815</v>
      </c>
      <c r="D166" s="43">
        <v>46293.833333333336</v>
      </c>
      <c r="E166" s="43">
        <v>9.1683685090856972</v>
      </c>
      <c r="F166" s="43">
        <v>9.1683685090856972</v>
      </c>
      <c r="G166" s="47"/>
      <c r="H166" s="48"/>
    </row>
    <row r="167" spans="2:8" x14ac:dyDescent="0.25">
      <c r="B167" s="18" t="s">
        <v>52</v>
      </c>
      <c r="C167" s="13">
        <v>1670800</v>
      </c>
      <c r="D167" s="15">
        <v>55693.333333333336</v>
      </c>
      <c r="E167" s="15">
        <v>11.147290210373409</v>
      </c>
      <c r="F167" s="15">
        <v>11.147290210373409</v>
      </c>
      <c r="G167" s="14"/>
      <c r="H167" s="19"/>
    </row>
    <row r="168" spans="2:8" x14ac:dyDescent="0.25">
      <c r="B168" s="20" t="s">
        <v>53</v>
      </c>
      <c r="C168" s="13">
        <v>1343112</v>
      </c>
      <c r="D168" s="15">
        <v>44770.400000000001</v>
      </c>
      <c r="E168" s="15">
        <v>8.8666566569162288</v>
      </c>
      <c r="F168" s="15">
        <v>8.8666566569162271</v>
      </c>
      <c r="G168" s="14"/>
      <c r="H168" s="19"/>
    </row>
    <row r="169" spans="2:8" x14ac:dyDescent="0.25">
      <c r="B169" s="20" t="s">
        <v>10</v>
      </c>
      <c r="C169" s="13">
        <v>64703</v>
      </c>
      <c r="D169" s="15">
        <v>2156.7666666666669</v>
      </c>
      <c r="E169" s="15">
        <v>0.42714180624732018</v>
      </c>
      <c r="F169" s="15">
        <v>0.42714180624732012</v>
      </c>
      <c r="G169" s="14"/>
      <c r="H169" s="19"/>
    </row>
    <row r="170" spans="2:8" x14ac:dyDescent="0.25">
      <c r="B170" s="20" t="s">
        <v>9</v>
      </c>
      <c r="C170" s="13">
        <v>600000</v>
      </c>
      <c r="D170" s="15">
        <v>20000</v>
      </c>
      <c r="E170" s="15">
        <v>3.9609459182478721</v>
      </c>
      <c r="F170" s="15">
        <v>3.9609459182478721</v>
      </c>
      <c r="G170" s="14"/>
      <c r="H170" s="19"/>
    </row>
    <row r="171" spans="2:8" x14ac:dyDescent="0.25">
      <c r="B171" s="18" t="s">
        <v>15</v>
      </c>
      <c r="C171" s="13">
        <v>241130</v>
      </c>
      <c r="D171" s="15">
        <v>8037.666666666667</v>
      </c>
      <c r="E171" s="15">
        <v>1.5918381487785156</v>
      </c>
      <c r="F171" s="15">
        <v>1.5918381487785156</v>
      </c>
      <c r="G171" s="14"/>
      <c r="H171" s="19"/>
    </row>
    <row r="172" spans="2:8" x14ac:dyDescent="0.25">
      <c r="B172" s="18" t="s">
        <v>16</v>
      </c>
      <c r="C172" s="13">
        <v>31800</v>
      </c>
      <c r="D172" s="15">
        <v>1060</v>
      </c>
      <c r="E172" s="15">
        <v>0.20993013366713723</v>
      </c>
      <c r="F172" s="15">
        <v>0.20993013366713723</v>
      </c>
      <c r="G172" s="14"/>
      <c r="H172" s="19"/>
    </row>
    <row r="173" spans="2:8" x14ac:dyDescent="0.25">
      <c r="B173" s="18" t="s">
        <v>17</v>
      </c>
      <c r="C173" s="13"/>
      <c r="D173" s="15">
        <v>0</v>
      </c>
      <c r="E173" s="15">
        <v>0</v>
      </c>
      <c r="F173" s="15">
        <v>0</v>
      </c>
      <c r="G173" s="14"/>
      <c r="H173" s="19"/>
    </row>
    <row r="174" spans="2:8" x14ac:dyDescent="0.25">
      <c r="B174" s="18" t="s">
        <v>18</v>
      </c>
      <c r="C174" s="13">
        <v>557600</v>
      </c>
      <c r="D174" s="15">
        <v>18586.666666666668</v>
      </c>
      <c r="E174" s="15">
        <v>3.6810390733583556</v>
      </c>
      <c r="F174" s="15">
        <v>3.6810390733583556</v>
      </c>
      <c r="G174" s="14"/>
      <c r="H174" s="19"/>
    </row>
    <row r="175" spans="2:8" x14ac:dyDescent="0.25">
      <c r="B175" s="18" t="s">
        <v>20</v>
      </c>
      <c r="C175" s="13">
        <v>827363</v>
      </c>
      <c r="D175" s="15">
        <v>27578.766666666666</v>
      </c>
      <c r="E175" s="15">
        <v>5.4619001629321904</v>
      </c>
      <c r="F175" s="15">
        <v>5.4619001629321904</v>
      </c>
      <c r="G175" s="14"/>
      <c r="H175" s="19"/>
    </row>
    <row r="176" spans="2:8" x14ac:dyDescent="0.25">
      <c r="B176" s="18" t="s">
        <v>23</v>
      </c>
      <c r="C176" s="13">
        <v>3996230</v>
      </c>
      <c r="D176" s="15">
        <v>133207.66666666666</v>
      </c>
      <c r="E176" s="15">
        <v>26.381418178132822</v>
      </c>
      <c r="F176" s="15">
        <v>26.381418178132822</v>
      </c>
      <c r="G176" s="14"/>
      <c r="H176" s="19"/>
    </row>
    <row r="177" spans="2:8" x14ac:dyDescent="0.25">
      <c r="B177" s="18" t="s">
        <v>19</v>
      </c>
      <c r="C177" s="13">
        <v>148299</v>
      </c>
      <c r="D177" s="15">
        <v>4943.3</v>
      </c>
      <c r="E177" s="15">
        <v>0.97900719788373547</v>
      </c>
      <c r="F177" s="15">
        <v>0.97900719788373525</v>
      </c>
      <c r="G177" s="14"/>
      <c r="H177" s="19"/>
    </row>
    <row r="178" spans="2:8" x14ac:dyDescent="0.25">
      <c r="B178" s="27" t="s">
        <v>8</v>
      </c>
      <c r="C178" s="28">
        <v>10869852</v>
      </c>
      <c r="D178" s="28">
        <v>362328.39999999997</v>
      </c>
      <c r="E178" s="29">
        <v>45.494117817490462</v>
      </c>
      <c r="F178" s="29">
        <v>45.494117817490462</v>
      </c>
      <c r="G178" s="14"/>
      <c r="H178" s="19"/>
    </row>
    <row r="179" spans="2:8" x14ac:dyDescent="0.25">
      <c r="B179" s="26" t="s">
        <v>30</v>
      </c>
      <c r="C179" s="14"/>
      <c r="D179" s="14"/>
      <c r="E179" s="16"/>
      <c r="F179" s="15">
        <v>14.44</v>
      </c>
      <c r="G179" s="14"/>
      <c r="H179" s="19"/>
    </row>
    <row r="180" spans="2:8" x14ac:dyDescent="0.25">
      <c r="B180" s="26" t="s">
        <v>31</v>
      </c>
      <c r="C180" s="14"/>
      <c r="D180" s="14"/>
      <c r="E180" s="16"/>
      <c r="F180" s="14">
        <v>12.45</v>
      </c>
      <c r="G180" s="14"/>
      <c r="H180" s="19"/>
    </row>
    <row r="181" spans="2:8" x14ac:dyDescent="0.25">
      <c r="B181" s="26" t="s">
        <v>32</v>
      </c>
      <c r="C181" s="14"/>
      <c r="D181" s="14"/>
      <c r="E181" s="16"/>
      <c r="F181" s="15">
        <v>25.16</v>
      </c>
      <c r="G181" s="14"/>
      <c r="H181" s="19"/>
    </row>
    <row r="182" spans="2:8" ht="16.5" thickBot="1" x14ac:dyDescent="0.3">
      <c r="B182" s="23" t="s">
        <v>33</v>
      </c>
      <c r="C182" s="24"/>
      <c r="D182" s="24"/>
      <c r="E182" s="25"/>
      <c r="F182" s="25">
        <v>97.544117817490459</v>
      </c>
      <c r="G182" s="21"/>
      <c r="H182" s="22"/>
    </row>
    <row r="183" spans="2:8" ht="15.75" thickBot="1" x14ac:dyDescent="0.3"/>
    <row r="184" spans="2:8" ht="15.75" thickBot="1" x14ac:dyDescent="0.3">
      <c r="B184" s="168" t="s">
        <v>86</v>
      </c>
      <c r="C184" s="169"/>
      <c r="D184" s="169"/>
      <c r="E184" s="169"/>
      <c r="F184" s="170"/>
      <c r="G184" s="12" t="s">
        <v>0</v>
      </c>
      <c r="H184" s="12" t="s">
        <v>2</v>
      </c>
    </row>
    <row r="185" spans="2:8" ht="15.75" thickBot="1" x14ac:dyDescent="0.3">
      <c r="B185" s="49" t="s">
        <v>55</v>
      </c>
      <c r="C185" s="50" t="s">
        <v>4</v>
      </c>
      <c r="D185" s="50" t="s">
        <v>3</v>
      </c>
      <c r="E185" s="50" t="s">
        <v>24</v>
      </c>
      <c r="F185" s="50" t="s">
        <v>38</v>
      </c>
      <c r="G185" s="50">
        <v>153883</v>
      </c>
      <c r="H185" s="50">
        <v>160317</v>
      </c>
    </row>
    <row r="186" spans="2:8" x14ac:dyDescent="0.25">
      <c r="B186" s="42" t="s">
        <v>51</v>
      </c>
      <c r="C186" s="46">
        <v>1388815</v>
      </c>
      <c r="D186" s="43">
        <v>46293.833333333336</v>
      </c>
      <c r="E186" s="43">
        <v>9.1683685090856972</v>
      </c>
      <c r="F186" s="43">
        <v>7.9161748433031898</v>
      </c>
      <c r="G186" s="47"/>
      <c r="H186" s="48"/>
    </row>
    <row r="187" spans="2:8" x14ac:dyDescent="0.25">
      <c r="B187" s="18" t="s">
        <v>52</v>
      </c>
      <c r="C187" s="13">
        <v>1670800</v>
      </c>
      <c r="D187" s="15">
        <v>55693.333333333336</v>
      </c>
      <c r="E187" s="15">
        <v>11.147290210373409</v>
      </c>
      <c r="F187" s="15">
        <v>9.4154102780076965</v>
      </c>
      <c r="G187" s="14"/>
      <c r="H187" s="19"/>
    </row>
    <row r="188" spans="2:8" x14ac:dyDescent="0.25">
      <c r="B188" s="20" t="s">
        <v>53</v>
      </c>
      <c r="C188" s="13">
        <v>1453612</v>
      </c>
      <c r="D188" s="15">
        <v>48453.73333333333</v>
      </c>
      <c r="E188" s="15">
        <v>9.5961308635268772</v>
      </c>
      <c r="F188" s="15">
        <v>8.8165332710869713</v>
      </c>
      <c r="G188" s="14"/>
      <c r="H188" s="19"/>
    </row>
    <row r="189" spans="2:8" x14ac:dyDescent="0.25">
      <c r="B189" s="20" t="s">
        <v>10</v>
      </c>
      <c r="C189" s="13">
        <v>64703</v>
      </c>
      <c r="D189" s="15">
        <v>2156.7666666666669</v>
      </c>
      <c r="E189" s="15">
        <v>0.42714180624732018</v>
      </c>
      <c r="F189" s="15">
        <v>0.79008645260469035</v>
      </c>
      <c r="G189" s="14"/>
      <c r="H189" s="19"/>
    </row>
    <row r="190" spans="2:8" x14ac:dyDescent="0.25">
      <c r="B190" s="20" t="s">
        <v>9</v>
      </c>
      <c r="C190" s="13">
        <v>600000</v>
      </c>
      <c r="D190" s="15">
        <v>20000</v>
      </c>
      <c r="E190" s="15">
        <v>3.9609459182478721</v>
      </c>
      <c r="F190" s="15">
        <v>3.8990621195977511</v>
      </c>
      <c r="G190" s="14"/>
      <c r="H190" s="19"/>
    </row>
    <row r="191" spans="2:8" x14ac:dyDescent="0.25">
      <c r="B191" s="18" t="s">
        <v>15</v>
      </c>
      <c r="C191" s="13">
        <v>241130</v>
      </c>
      <c r="D191" s="15">
        <v>8037.666666666667</v>
      </c>
      <c r="E191" s="15">
        <v>1.5918381487785156</v>
      </c>
      <c r="F191" s="15">
        <v>1.5057398093462595</v>
      </c>
      <c r="G191" s="14"/>
      <c r="H191" s="19"/>
    </row>
    <row r="192" spans="2:8" x14ac:dyDescent="0.25">
      <c r="B192" s="18" t="s">
        <v>16</v>
      </c>
      <c r="C192" s="13">
        <v>48080</v>
      </c>
      <c r="D192" s="15">
        <v>1602.6666666666667</v>
      </c>
      <c r="E192" s="15">
        <v>0.31740379958226284</v>
      </c>
      <c r="F192" s="15">
        <v>9.9166146575102809E-2</v>
      </c>
      <c r="G192" s="14"/>
      <c r="H192" s="19"/>
    </row>
    <row r="193" spans="2:8" x14ac:dyDescent="0.25">
      <c r="B193" s="18" t="s">
        <v>17</v>
      </c>
      <c r="C193" s="13">
        <v>199038</v>
      </c>
      <c r="D193" s="15">
        <v>6634.6</v>
      </c>
      <c r="E193" s="15">
        <v>1.3139645894603666</v>
      </c>
      <c r="F193" s="15">
        <v>4.2885459331612363</v>
      </c>
      <c r="G193" s="14"/>
      <c r="H193" s="19"/>
    </row>
    <row r="194" spans="2:8" x14ac:dyDescent="0.25">
      <c r="B194" s="18" t="s">
        <v>18</v>
      </c>
      <c r="C194" s="13">
        <v>557600</v>
      </c>
      <c r="D194" s="15">
        <v>18586.666666666668</v>
      </c>
      <c r="E194" s="15">
        <v>3.6810390733583556</v>
      </c>
      <c r="F194" s="15">
        <v>4.4486349253550541</v>
      </c>
      <c r="G194" s="14"/>
      <c r="H194" s="19"/>
    </row>
    <row r="195" spans="2:8" x14ac:dyDescent="0.25">
      <c r="B195" s="18" t="s">
        <v>20</v>
      </c>
      <c r="C195" s="13">
        <v>418863</v>
      </c>
      <c r="D195" s="15">
        <v>13962.1</v>
      </c>
      <c r="E195" s="15">
        <v>2.7651561502584312</v>
      </c>
      <c r="F195" s="15">
        <v>4.4818679314877592</v>
      </c>
      <c r="G195" s="14"/>
      <c r="H195" s="19"/>
    </row>
    <row r="196" spans="2:8" x14ac:dyDescent="0.25">
      <c r="B196" s="18" t="s">
        <v>23</v>
      </c>
      <c r="C196" s="13">
        <v>3996230</v>
      </c>
      <c r="D196" s="15">
        <v>133207.66666666666</v>
      </c>
      <c r="E196" s="15">
        <v>26.381418178132822</v>
      </c>
      <c r="F196" s="15">
        <v>20.590914561411395</v>
      </c>
      <c r="G196" s="14"/>
      <c r="H196" s="19"/>
    </row>
    <row r="197" spans="2:8" x14ac:dyDescent="0.25">
      <c r="B197" s="18" t="s">
        <v>19</v>
      </c>
      <c r="C197" s="13">
        <v>148299</v>
      </c>
      <c r="D197" s="15">
        <v>4943.3</v>
      </c>
      <c r="E197" s="15">
        <v>0.97900719788373547</v>
      </c>
      <c r="F197" s="15">
        <v>3.375749497215939</v>
      </c>
      <c r="G197" s="14"/>
      <c r="H197" s="19"/>
    </row>
    <row r="198" spans="2:8" x14ac:dyDescent="0.25">
      <c r="B198" s="27" t="s">
        <v>8</v>
      </c>
      <c r="C198" s="28">
        <v>10787170</v>
      </c>
      <c r="D198" s="28">
        <v>359572.33333333331</v>
      </c>
      <c r="E198" s="29">
        <v>44.948286266802853</v>
      </c>
      <c r="F198" s="29">
        <f>SUM(F186:F197)-F196</f>
        <v>49.036971207741644</v>
      </c>
      <c r="G198" s="14"/>
      <c r="H198" s="19"/>
    </row>
    <row r="199" spans="2:8" x14ac:dyDescent="0.25">
      <c r="B199" s="26" t="s">
        <v>30</v>
      </c>
      <c r="C199" s="14"/>
      <c r="D199" s="14"/>
      <c r="E199" s="16"/>
      <c r="F199" s="1">
        <v>12.34</v>
      </c>
      <c r="G199" s="14"/>
      <c r="H199" s="19"/>
    </row>
    <row r="200" spans="2:8" x14ac:dyDescent="0.25">
      <c r="B200" s="26" t="s">
        <v>31</v>
      </c>
      <c r="C200" s="14"/>
      <c r="D200" s="14"/>
      <c r="E200" s="16"/>
      <c r="F200">
        <v>17.32</v>
      </c>
      <c r="G200" s="14"/>
      <c r="H200" s="19"/>
    </row>
    <row r="201" spans="2:8" x14ac:dyDescent="0.25">
      <c r="B201" s="26" t="s">
        <v>32</v>
      </c>
      <c r="C201" s="14"/>
      <c r="D201" s="14"/>
      <c r="E201" s="16"/>
      <c r="F201">
        <v>25.89</v>
      </c>
      <c r="G201" s="14"/>
      <c r="H201" s="19"/>
    </row>
    <row r="202" spans="2:8" ht="16.5" thickBot="1" x14ac:dyDescent="0.3">
      <c r="B202" s="23" t="s">
        <v>33</v>
      </c>
      <c r="C202" s="24"/>
      <c r="D202" s="24"/>
      <c r="E202" s="25"/>
      <c r="F202" s="25">
        <f>+F201+F200+F199+F198</f>
        <v>104.58697120774164</v>
      </c>
      <c r="G202" s="21"/>
      <c r="H202" s="22"/>
    </row>
    <row r="203" spans="2:8" ht="15.75" thickBot="1" x14ac:dyDescent="0.3"/>
    <row r="204" spans="2:8" ht="15.75" thickBot="1" x14ac:dyDescent="0.3">
      <c r="B204" s="168" t="s">
        <v>92</v>
      </c>
      <c r="C204" s="169"/>
      <c r="D204" s="169"/>
      <c r="E204" s="169"/>
      <c r="F204" s="170"/>
      <c r="G204" s="12" t="s">
        <v>0</v>
      </c>
      <c r="H204" s="12" t="s">
        <v>2</v>
      </c>
    </row>
    <row r="205" spans="2:8" ht="15.75" thickBot="1" x14ac:dyDescent="0.3">
      <c r="B205" s="49" t="s">
        <v>55</v>
      </c>
      <c r="C205" s="50" t="s">
        <v>4</v>
      </c>
      <c r="D205" s="50" t="s">
        <v>3</v>
      </c>
      <c r="E205" s="50" t="s">
        <v>24</v>
      </c>
      <c r="F205" s="50" t="s">
        <v>38</v>
      </c>
      <c r="G205" s="50">
        <v>136060</v>
      </c>
      <c r="H205" s="50">
        <v>162153.65000000002</v>
      </c>
    </row>
    <row r="206" spans="2:8" x14ac:dyDescent="0.25">
      <c r="B206" s="42" t="s">
        <v>51</v>
      </c>
      <c r="C206" s="46">
        <v>1239241</v>
      </c>
      <c r="D206" s="43">
        <v>41308.033333333333</v>
      </c>
      <c r="E206" s="43">
        <v>9.1080197377898742</v>
      </c>
      <c r="F206" s="43">
        <v>9.1080197377898742</v>
      </c>
      <c r="G206" s="47"/>
      <c r="H206" s="48"/>
    </row>
    <row r="207" spans="2:8" x14ac:dyDescent="0.25">
      <c r="B207" s="18" t="s">
        <v>52</v>
      </c>
      <c r="C207" s="13">
        <v>1413165</v>
      </c>
      <c r="D207" s="15">
        <v>47105.5</v>
      </c>
      <c r="E207" s="15">
        <v>8.7149749635607936</v>
      </c>
      <c r="F207" s="15">
        <v>8.7149749635607936</v>
      </c>
      <c r="G207" s="14"/>
      <c r="H207" s="19"/>
    </row>
    <row r="208" spans="2:8" x14ac:dyDescent="0.25">
      <c r="B208" s="20" t="s">
        <v>53</v>
      </c>
      <c r="C208" s="13">
        <v>1416074</v>
      </c>
      <c r="D208" s="15">
        <v>47202.466666666667</v>
      </c>
      <c r="E208" s="15">
        <v>10.407684979895807</v>
      </c>
      <c r="F208" s="15">
        <v>10.407684979895807</v>
      </c>
      <c r="G208" s="14"/>
      <c r="H208" s="19"/>
    </row>
    <row r="209" spans="2:8" x14ac:dyDescent="0.25">
      <c r="B209" s="20" t="s">
        <v>10</v>
      </c>
      <c r="C209" s="13">
        <v>109240</v>
      </c>
      <c r="D209" s="15">
        <v>3641.3333333333335</v>
      </c>
      <c r="E209" s="15">
        <v>0.80287859759011038</v>
      </c>
      <c r="F209" s="15">
        <v>0.80287859759011038</v>
      </c>
      <c r="G209" s="14"/>
      <c r="H209" s="19"/>
    </row>
    <row r="210" spans="2:8" x14ac:dyDescent="0.25">
      <c r="B210" s="20" t="s">
        <v>9</v>
      </c>
      <c r="C210" s="13">
        <v>600000</v>
      </c>
      <c r="D210" s="15">
        <v>20000</v>
      </c>
      <c r="E210" s="15">
        <v>4.4098055524905364</v>
      </c>
      <c r="F210" s="15">
        <v>4.4098055524905364</v>
      </c>
      <c r="G210" s="14"/>
      <c r="H210" s="19"/>
    </row>
    <row r="211" spans="2:8" x14ac:dyDescent="0.25">
      <c r="B211" s="18" t="s">
        <v>15</v>
      </c>
      <c r="C211" s="13">
        <v>8590</v>
      </c>
      <c r="D211" s="15">
        <v>286.33333333333331</v>
      </c>
      <c r="E211" s="15">
        <v>6.3133716159822842E-2</v>
      </c>
      <c r="F211" s="15">
        <v>6.3133716159822842E-2</v>
      </c>
      <c r="G211" s="14"/>
      <c r="H211" s="19"/>
    </row>
    <row r="212" spans="2:8" x14ac:dyDescent="0.25">
      <c r="B212" s="18" t="s">
        <v>16</v>
      </c>
      <c r="C212" s="13">
        <v>24000</v>
      </c>
      <c r="D212" s="15">
        <v>800</v>
      </c>
      <c r="E212" s="15">
        <v>0.17639222209962147</v>
      </c>
      <c r="F212" s="15">
        <v>0.17639222209962147</v>
      </c>
      <c r="G212" s="14"/>
      <c r="H212" s="19"/>
    </row>
    <row r="213" spans="2:8" x14ac:dyDescent="0.25">
      <c r="B213" s="18" t="s">
        <v>17</v>
      </c>
      <c r="C213" s="13">
        <v>480956</v>
      </c>
      <c r="D213" s="15">
        <v>16031.866666666667</v>
      </c>
      <c r="E213" s="15">
        <v>3.5348707321727302</v>
      </c>
      <c r="F213" s="15">
        <v>3.5348707321727306</v>
      </c>
      <c r="G213" s="14"/>
      <c r="H213" s="19"/>
    </row>
    <row r="214" spans="2:8" x14ac:dyDescent="0.25">
      <c r="B214" s="18" t="s">
        <v>18</v>
      </c>
      <c r="C214" s="13">
        <v>531470</v>
      </c>
      <c r="D214" s="15">
        <v>17715.666666666668</v>
      </c>
      <c r="E214" s="15">
        <v>3.906132261636909</v>
      </c>
      <c r="F214" s="15">
        <v>3.906132261636909</v>
      </c>
      <c r="G214" s="14"/>
      <c r="H214" s="19"/>
    </row>
    <row r="215" spans="2:8" x14ac:dyDescent="0.25">
      <c r="B215" s="18" t="s">
        <v>20</v>
      </c>
      <c r="C215" s="13">
        <v>603278</v>
      </c>
      <c r="D215" s="15">
        <v>20109.266666666666</v>
      </c>
      <c r="E215" s="15">
        <v>4.4338977901589764</v>
      </c>
      <c r="F215" s="15">
        <v>4.4338977901589764</v>
      </c>
      <c r="G215" s="14"/>
      <c r="H215" s="19"/>
    </row>
    <row r="216" spans="2:8" x14ac:dyDescent="0.25">
      <c r="B216" s="18" t="s">
        <v>23</v>
      </c>
      <c r="C216" s="13">
        <v>2851113</v>
      </c>
      <c r="D216" s="15">
        <v>95037.1</v>
      </c>
      <c r="E216" s="15">
        <v>20.954756563629921</v>
      </c>
      <c r="F216" s="15">
        <v>20.954756563629918</v>
      </c>
      <c r="G216" s="14"/>
      <c r="H216" s="19"/>
    </row>
    <row r="217" spans="2:8" x14ac:dyDescent="0.25">
      <c r="B217" s="18" t="s">
        <v>19</v>
      </c>
      <c r="C217" s="13">
        <v>69941</v>
      </c>
      <c r="D217" s="15">
        <v>2331.3666666666668</v>
      </c>
      <c r="E217" s="15">
        <v>0.51404368357790098</v>
      </c>
      <c r="F217" s="15">
        <v>0.51404368357790098</v>
      </c>
      <c r="G217" s="14"/>
      <c r="H217" s="19"/>
    </row>
    <row r="218" spans="2:8" x14ac:dyDescent="0.25">
      <c r="B218" s="27" t="s">
        <v>8</v>
      </c>
      <c r="C218" s="28">
        <v>9347068</v>
      </c>
      <c r="D218" s="28">
        <v>311568.93333333329</v>
      </c>
      <c r="E218" s="29">
        <v>46.071834237133082</v>
      </c>
      <c r="F218" s="29">
        <v>46.071834237133075</v>
      </c>
      <c r="G218" s="14"/>
      <c r="H218" s="19"/>
    </row>
    <row r="219" spans="2:8" x14ac:dyDescent="0.25">
      <c r="B219" s="26" t="s">
        <v>30</v>
      </c>
      <c r="C219" s="14"/>
      <c r="D219" s="14"/>
      <c r="E219" s="16"/>
      <c r="F219" s="1">
        <v>12.59</v>
      </c>
      <c r="G219" s="14"/>
      <c r="H219" s="19"/>
    </row>
    <row r="220" spans="2:8" x14ac:dyDescent="0.25">
      <c r="B220" s="26" t="s">
        <v>31</v>
      </c>
      <c r="C220" s="14"/>
      <c r="D220" s="14"/>
      <c r="E220" s="16"/>
      <c r="F220">
        <v>9.6</v>
      </c>
      <c r="G220" s="14"/>
      <c r="H220" s="19"/>
    </row>
    <row r="221" spans="2:8" x14ac:dyDescent="0.25">
      <c r="B221" s="26" t="s">
        <v>32</v>
      </c>
      <c r="C221" s="14"/>
      <c r="D221" s="14"/>
      <c r="E221" s="16"/>
      <c r="F221">
        <v>20.440000000000001</v>
      </c>
      <c r="G221" s="14"/>
      <c r="H221" s="19"/>
    </row>
    <row r="222" spans="2:8" ht="16.5" thickBot="1" x14ac:dyDescent="0.3">
      <c r="B222" s="23" t="s">
        <v>33</v>
      </c>
      <c r="C222" s="24"/>
      <c r="D222" s="24"/>
      <c r="E222" s="25"/>
      <c r="F222" s="25">
        <v>88.70183423713307</v>
      </c>
      <c r="G222" s="21"/>
      <c r="H222" s="22"/>
    </row>
    <row r="223" spans="2:8" ht="15.75" thickBot="1" x14ac:dyDescent="0.3"/>
    <row r="224" spans="2:8" ht="15.75" thickBot="1" x14ac:dyDescent="0.3">
      <c r="B224" s="168" t="s">
        <v>98</v>
      </c>
      <c r="C224" s="169"/>
      <c r="D224" s="169"/>
      <c r="E224" s="169"/>
      <c r="F224" s="170"/>
      <c r="G224" s="12" t="s">
        <v>0</v>
      </c>
      <c r="H224" s="12" t="s">
        <v>2</v>
      </c>
    </row>
    <row r="225" spans="2:8" ht="15.75" thickBot="1" x14ac:dyDescent="0.3">
      <c r="B225" s="49" t="s">
        <v>55</v>
      </c>
      <c r="C225" s="50" t="s">
        <v>4</v>
      </c>
      <c r="D225" s="50" t="s">
        <v>3</v>
      </c>
      <c r="E225" s="50" t="s">
        <v>24</v>
      </c>
      <c r="F225" s="50" t="s">
        <v>38</v>
      </c>
      <c r="G225" s="50">
        <v>171979.2</v>
      </c>
      <c r="H225" s="50">
        <v>183022</v>
      </c>
    </row>
    <row r="226" spans="2:8" x14ac:dyDescent="0.25">
      <c r="B226" s="42" t="s">
        <v>51</v>
      </c>
      <c r="C226" s="104">
        <v>1265276</v>
      </c>
      <c r="D226" s="43">
        <v>46862.07</v>
      </c>
      <c r="E226" s="43">
        <v>7.36</v>
      </c>
      <c r="F226" s="43">
        <v>7.36</v>
      </c>
      <c r="G226" s="47"/>
      <c r="H226" s="48"/>
    </row>
    <row r="227" spans="2:8" x14ac:dyDescent="0.25">
      <c r="B227" s="18" t="s">
        <v>52</v>
      </c>
      <c r="C227" s="103">
        <v>1481050</v>
      </c>
      <c r="D227" s="15">
        <v>54853.7</v>
      </c>
      <c r="E227" s="15">
        <v>8.09</v>
      </c>
      <c r="F227" s="15">
        <v>8.09</v>
      </c>
      <c r="G227" s="14"/>
      <c r="H227" s="19"/>
    </row>
    <row r="228" spans="2:8" x14ac:dyDescent="0.25">
      <c r="B228" s="20" t="s">
        <v>53</v>
      </c>
      <c r="C228" s="103">
        <v>1386282</v>
      </c>
      <c r="D228" s="15">
        <v>51343.78</v>
      </c>
      <c r="E228" s="15">
        <v>8.06</v>
      </c>
      <c r="F228" s="15">
        <v>8.06</v>
      </c>
      <c r="G228" s="14"/>
      <c r="H228" s="19"/>
    </row>
    <row r="229" spans="2:8" x14ac:dyDescent="0.25">
      <c r="B229" s="20" t="s">
        <v>10</v>
      </c>
      <c r="C229" s="103">
        <v>88248</v>
      </c>
      <c r="D229" s="15">
        <v>3268.444</v>
      </c>
      <c r="E229" s="15">
        <v>0.51</v>
      </c>
      <c r="F229" s="15">
        <v>0.51</v>
      </c>
      <c r="G229" s="14"/>
      <c r="H229" s="19"/>
    </row>
    <row r="230" spans="2:8" x14ac:dyDescent="0.25">
      <c r="B230" s="20" t="s">
        <v>9</v>
      </c>
      <c r="C230" s="103">
        <v>600000</v>
      </c>
      <c r="D230" s="15">
        <v>22222.22</v>
      </c>
      <c r="E230" s="15">
        <v>3.49</v>
      </c>
      <c r="F230" s="15">
        <v>3.49</v>
      </c>
      <c r="G230" s="14"/>
      <c r="H230" s="19"/>
    </row>
    <row r="231" spans="2:8" x14ac:dyDescent="0.25">
      <c r="B231" s="18" t="s">
        <v>15</v>
      </c>
      <c r="C231" s="103">
        <v>11375</v>
      </c>
      <c r="D231" s="15">
        <v>421.29629999999997</v>
      </c>
      <c r="E231" s="15">
        <v>7.0000000000000007E-2</v>
      </c>
      <c r="F231" s="15">
        <v>7.0000000000000007E-2</v>
      </c>
      <c r="G231" s="14"/>
      <c r="H231" s="19"/>
    </row>
    <row r="232" spans="2:8" x14ac:dyDescent="0.25">
      <c r="B232" s="18" t="s">
        <v>16</v>
      </c>
      <c r="C232" s="103">
        <v>14350</v>
      </c>
      <c r="D232" s="15">
        <v>531.48149999999998</v>
      </c>
      <c r="E232" s="15">
        <v>0.08</v>
      </c>
      <c r="F232" s="15">
        <v>0.08</v>
      </c>
      <c r="G232" s="14"/>
      <c r="H232" s="19"/>
    </row>
    <row r="233" spans="2:8" x14ac:dyDescent="0.25">
      <c r="B233" s="18" t="s">
        <v>17</v>
      </c>
      <c r="C233" s="103">
        <v>344965</v>
      </c>
      <c r="D233" s="15">
        <v>12776.48</v>
      </c>
      <c r="E233" s="15">
        <v>2.0099999999999998</v>
      </c>
      <c r="F233" s="15">
        <v>2.0099999999999998</v>
      </c>
      <c r="G233" s="14"/>
      <c r="H233" s="19"/>
    </row>
    <row r="234" spans="2:8" x14ac:dyDescent="0.25">
      <c r="B234" s="18" t="s">
        <v>18</v>
      </c>
      <c r="C234" s="103">
        <v>461850</v>
      </c>
      <c r="D234" s="15">
        <v>17105.560000000001</v>
      </c>
      <c r="E234" s="15">
        <v>2.69</v>
      </c>
      <c r="F234" s="15">
        <v>2.69</v>
      </c>
      <c r="G234" s="14"/>
      <c r="H234" s="19"/>
    </row>
    <row r="235" spans="2:8" x14ac:dyDescent="0.25">
      <c r="B235" s="18" t="s">
        <v>20</v>
      </c>
      <c r="C235" s="103">
        <v>449937</v>
      </c>
      <c r="D235" s="15">
        <v>16664.330000000002</v>
      </c>
      <c r="E235" s="15">
        <v>2.62</v>
      </c>
      <c r="F235" s="15">
        <v>2.62</v>
      </c>
      <c r="G235" s="14"/>
      <c r="H235" s="19"/>
    </row>
    <row r="236" spans="2:8" x14ac:dyDescent="0.25">
      <c r="B236" s="18" t="s">
        <v>23</v>
      </c>
      <c r="C236" s="103">
        <v>3488256</v>
      </c>
      <c r="D236" s="15">
        <v>129194.7</v>
      </c>
      <c r="E236" s="15">
        <v>20.28</v>
      </c>
      <c r="F236" s="15">
        <v>20.28</v>
      </c>
      <c r="G236" s="14"/>
      <c r="H236" s="19"/>
    </row>
    <row r="237" spans="2:8" x14ac:dyDescent="0.25">
      <c r="B237" s="18" t="s">
        <v>19</v>
      </c>
      <c r="C237" s="103">
        <v>50380</v>
      </c>
      <c r="D237" s="15">
        <v>1865.9259999999999</v>
      </c>
      <c r="E237" s="15">
        <v>0.28999999999999998</v>
      </c>
      <c r="F237" s="15">
        <v>0.28999999999999998</v>
      </c>
      <c r="G237" s="14"/>
      <c r="H237" s="19"/>
    </row>
    <row r="238" spans="2:8" x14ac:dyDescent="0.25">
      <c r="B238" s="27" t="s">
        <v>8</v>
      </c>
      <c r="C238" s="105">
        <v>9641969</v>
      </c>
      <c r="D238" s="28">
        <v>357110</v>
      </c>
      <c r="E238" s="29">
        <v>35.26</v>
      </c>
      <c r="F238" s="29">
        <v>35.26</v>
      </c>
      <c r="G238" s="14"/>
      <c r="H238" s="19"/>
    </row>
    <row r="239" spans="2:8" x14ac:dyDescent="0.25">
      <c r="B239" s="26" t="s">
        <v>30</v>
      </c>
      <c r="C239" s="14" t="s">
        <v>100</v>
      </c>
      <c r="D239" s="14"/>
      <c r="E239" s="16"/>
      <c r="F239" s="1">
        <v>10.75</v>
      </c>
      <c r="G239" s="14"/>
      <c r="H239" s="19"/>
    </row>
    <row r="240" spans="2:8" x14ac:dyDescent="0.25">
      <c r="B240" s="26" t="s">
        <v>31</v>
      </c>
      <c r="C240" s="14"/>
      <c r="D240" s="14"/>
      <c r="E240" s="16"/>
      <c r="F240">
        <v>10.66</v>
      </c>
      <c r="G240" s="14"/>
      <c r="H240" s="19"/>
    </row>
    <row r="241" spans="2:8" x14ac:dyDescent="0.25">
      <c r="B241" s="26" t="s">
        <v>32</v>
      </c>
      <c r="C241" s="14"/>
      <c r="D241" s="14"/>
      <c r="E241" s="16"/>
      <c r="F241">
        <v>20</v>
      </c>
      <c r="G241" s="14"/>
      <c r="H241" s="19"/>
    </row>
    <row r="242" spans="2:8" ht="16.5" thickBot="1" x14ac:dyDescent="0.3">
      <c r="B242" s="23" t="s">
        <v>33</v>
      </c>
      <c r="C242" s="24"/>
      <c r="D242" s="24"/>
      <c r="E242" s="25"/>
      <c r="F242" s="25">
        <v>76.67</v>
      </c>
      <c r="G242" s="21"/>
      <c r="H242" s="22"/>
    </row>
    <row r="243" spans="2:8" ht="15.75" thickBot="1" x14ac:dyDescent="0.3"/>
    <row r="244" spans="2:8" ht="15.75" thickBot="1" x14ac:dyDescent="0.3">
      <c r="B244" s="168" t="s">
        <v>99</v>
      </c>
      <c r="C244" s="169"/>
      <c r="D244" s="169"/>
      <c r="E244" s="169"/>
      <c r="F244" s="170"/>
      <c r="G244" s="12" t="s">
        <v>0</v>
      </c>
      <c r="H244" s="12" t="s">
        <v>2</v>
      </c>
    </row>
    <row r="245" spans="2:8" ht="15.75" thickBot="1" x14ac:dyDescent="0.3">
      <c r="B245" s="49" t="s">
        <v>55</v>
      </c>
      <c r="C245" s="50" t="s">
        <v>4</v>
      </c>
      <c r="D245" s="50" t="s">
        <v>3</v>
      </c>
      <c r="E245" s="50" t="s">
        <v>24</v>
      </c>
      <c r="F245" s="50" t="s">
        <v>38</v>
      </c>
      <c r="G245" s="50">
        <v>167817.94</v>
      </c>
      <c r="H245" s="50">
        <v>176229.53500000006</v>
      </c>
    </row>
    <row r="246" spans="2:8" x14ac:dyDescent="0.25">
      <c r="B246" s="42" t="s">
        <v>51</v>
      </c>
      <c r="C246" s="46">
        <v>1435790</v>
      </c>
      <c r="D246" s="43">
        <v>53177.407407407409</v>
      </c>
      <c r="E246" s="43">
        <v>8.5556407139784927</v>
      </c>
      <c r="F246" s="43">
        <v>8.5556407139784927</v>
      </c>
      <c r="G246" s="47"/>
      <c r="H246" s="48"/>
    </row>
    <row r="247" spans="2:8" x14ac:dyDescent="0.25">
      <c r="B247" s="18" t="s">
        <v>52</v>
      </c>
      <c r="C247" s="13">
        <v>1797625</v>
      </c>
      <c r="D247" s="15">
        <v>66578.703703703708</v>
      </c>
      <c r="E247" s="15">
        <v>10.200475192764934</v>
      </c>
      <c r="F247" s="15">
        <v>10.200475192764932</v>
      </c>
      <c r="G247" s="14"/>
      <c r="H247" s="19"/>
    </row>
    <row r="248" spans="2:8" x14ac:dyDescent="0.25">
      <c r="B248" s="20" t="s">
        <v>53</v>
      </c>
      <c r="C248" s="13">
        <v>1577359</v>
      </c>
      <c r="D248" s="15">
        <v>58420.703703703701</v>
      </c>
      <c r="E248" s="15">
        <v>9.3992275200136532</v>
      </c>
      <c r="F248" s="15">
        <v>9.3992275200136532</v>
      </c>
      <c r="G248" s="14"/>
      <c r="H248" s="19"/>
    </row>
    <row r="249" spans="2:8" x14ac:dyDescent="0.25">
      <c r="B249" s="20" t="s">
        <v>10</v>
      </c>
      <c r="C249" s="13">
        <v>93838</v>
      </c>
      <c r="D249" s="15">
        <v>3475.4814814814813</v>
      </c>
      <c r="E249" s="15">
        <v>0.55916548612144801</v>
      </c>
      <c r="F249" s="15">
        <v>0.55916548612144801</v>
      </c>
      <c r="G249" s="14"/>
      <c r="H249" s="19"/>
    </row>
    <row r="250" spans="2:8" x14ac:dyDescent="0.25">
      <c r="B250" s="20" t="s">
        <v>9</v>
      </c>
      <c r="C250" s="13">
        <v>600000</v>
      </c>
      <c r="D250" s="15">
        <v>22222.222222222223</v>
      </c>
      <c r="E250" s="15">
        <v>3.5753030933403194</v>
      </c>
      <c r="F250" s="15">
        <v>3.5753030933403185</v>
      </c>
      <c r="G250" s="14"/>
      <c r="H250" s="19"/>
    </row>
    <row r="251" spans="2:8" x14ac:dyDescent="0.25">
      <c r="B251" s="18" t="s">
        <v>15</v>
      </c>
      <c r="C251" s="13">
        <v>18000</v>
      </c>
      <c r="D251" s="15">
        <v>666.66666666666663</v>
      </c>
      <c r="E251" s="15">
        <v>0.10725909280020957</v>
      </c>
      <c r="F251" s="15">
        <v>0.10725909280020957</v>
      </c>
      <c r="G251" s="14"/>
      <c r="H251" s="19"/>
    </row>
    <row r="252" spans="2:8" x14ac:dyDescent="0.25">
      <c r="B252" s="18" t="s">
        <v>16</v>
      </c>
      <c r="C252" s="13">
        <v>5450</v>
      </c>
      <c r="D252" s="15">
        <v>201.85185185185185</v>
      </c>
      <c r="E252" s="15">
        <v>3.2475669764507893E-2</v>
      </c>
      <c r="F252" s="15">
        <v>3.2475669764507893E-2</v>
      </c>
      <c r="G252" s="14"/>
      <c r="H252" s="19"/>
    </row>
    <row r="253" spans="2:8" x14ac:dyDescent="0.25">
      <c r="B253" s="18" t="s">
        <v>17</v>
      </c>
      <c r="C253" s="13">
        <v>67446</v>
      </c>
      <c r="D253" s="15">
        <v>2498</v>
      </c>
      <c r="E253" s="15">
        <v>0.40189982072238523</v>
      </c>
      <c r="F253" s="15">
        <v>0.40189982072238523</v>
      </c>
      <c r="G253" s="14"/>
      <c r="H253" s="19"/>
    </row>
    <row r="254" spans="2:8" x14ac:dyDescent="0.25">
      <c r="B254" s="18" t="s">
        <v>18</v>
      </c>
      <c r="C254" s="13">
        <v>477953</v>
      </c>
      <c r="D254" s="15">
        <v>17701.962962962964</v>
      </c>
      <c r="E254" s="15">
        <v>2.8480447322854756</v>
      </c>
      <c r="F254" s="15">
        <v>2.8480447322854756</v>
      </c>
      <c r="G254" s="14"/>
      <c r="H254" s="19"/>
    </row>
    <row r="255" spans="2:8" x14ac:dyDescent="0.25">
      <c r="B255" s="18" t="s">
        <v>20</v>
      </c>
      <c r="C255" s="13">
        <v>927554</v>
      </c>
      <c r="D255" s="15">
        <v>34353.851851851854</v>
      </c>
      <c r="E255" s="15">
        <v>5.5271444757336443</v>
      </c>
      <c r="F255" s="15">
        <v>5.5271444757336434</v>
      </c>
      <c r="G255" s="14"/>
      <c r="H255" s="19"/>
    </row>
    <row r="256" spans="2:8" x14ac:dyDescent="0.25">
      <c r="B256" s="18" t="s">
        <v>23</v>
      </c>
      <c r="C256" s="13">
        <v>4014049</v>
      </c>
      <c r="D256" s="15">
        <v>148668.48148148149</v>
      </c>
      <c r="E256" s="15">
        <v>23.91906967753269</v>
      </c>
      <c r="F256" s="15">
        <v>23.919069677532686</v>
      </c>
      <c r="G256" s="14"/>
      <c r="H256" s="19"/>
    </row>
    <row r="257" spans="2:8" x14ac:dyDescent="0.25">
      <c r="B257" s="18" t="s">
        <v>19</v>
      </c>
      <c r="C257" s="13">
        <v>292868</v>
      </c>
      <c r="D257" s="15">
        <v>10846.962962962964</v>
      </c>
      <c r="E257" s="15">
        <v>0.28999999999999998</v>
      </c>
      <c r="F257" s="15">
        <v>1.7451531105673208</v>
      </c>
      <c r="G257" s="14"/>
      <c r="H257" s="19"/>
    </row>
    <row r="258" spans="2:8" x14ac:dyDescent="0.25">
      <c r="B258" s="27" t="s">
        <v>8</v>
      </c>
      <c r="C258" s="28">
        <v>11307932</v>
      </c>
      <c r="D258" s="28">
        <v>418812.29629629635</v>
      </c>
      <c r="E258" s="29">
        <v>41.496635797525073</v>
      </c>
      <c r="F258" s="29">
        <v>42.951788908092382</v>
      </c>
      <c r="G258" s="14"/>
      <c r="H258" s="19"/>
    </row>
    <row r="259" spans="2:8" x14ac:dyDescent="0.25">
      <c r="B259" s="26" t="s">
        <v>30</v>
      </c>
      <c r="C259" s="14" t="s">
        <v>96</v>
      </c>
      <c r="D259" s="14"/>
      <c r="E259" s="16"/>
      <c r="F259" s="1">
        <v>13.68</v>
      </c>
      <c r="G259" s="14"/>
      <c r="H259" s="19"/>
    </row>
    <row r="260" spans="2:8" x14ac:dyDescent="0.25">
      <c r="B260" s="26" t="s">
        <v>31</v>
      </c>
      <c r="C260" s="14"/>
      <c r="D260" s="14"/>
      <c r="E260" s="16"/>
      <c r="F260">
        <v>11.74</v>
      </c>
      <c r="G260" s="14"/>
      <c r="H260" s="19"/>
    </row>
    <row r="261" spans="2:8" x14ac:dyDescent="0.25">
      <c r="B261" s="26" t="s">
        <v>32</v>
      </c>
      <c r="C261" s="14"/>
      <c r="D261" s="14"/>
      <c r="E261" s="16"/>
      <c r="F261">
        <v>22.17</v>
      </c>
      <c r="G261" s="14"/>
      <c r="H261" s="19"/>
    </row>
    <row r="262" spans="2:8" ht="16.5" thickBot="1" x14ac:dyDescent="0.3">
      <c r="B262" s="23" t="s">
        <v>33</v>
      </c>
      <c r="C262" s="24"/>
      <c r="D262" s="24"/>
      <c r="E262" s="25"/>
      <c r="F262" s="25">
        <v>90.541788908092386</v>
      </c>
      <c r="G262" s="21"/>
      <c r="H262" s="22"/>
    </row>
  </sheetData>
  <mergeCells count="14">
    <mergeCell ref="B224:F224"/>
    <mergeCell ref="B244:F244"/>
    <mergeCell ref="B204:F204"/>
    <mergeCell ref="B184:F184"/>
    <mergeCell ref="B164:F164"/>
    <mergeCell ref="B144:F144"/>
    <mergeCell ref="B124:F124"/>
    <mergeCell ref="B104:F104"/>
    <mergeCell ref="B84:F84"/>
    <mergeCell ref="B4:F4"/>
    <mergeCell ref="B24:F24"/>
    <mergeCell ref="B44:F44"/>
    <mergeCell ref="B64:F64"/>
    <mergeCell ref="J3:AB3"/>
  </mergeCells>
  <pageMargins left="1.41" right="0.7" top="0.75" bottom="0.75" header="0.3" footer="0.3"/>
  <pageSetup paperSize="5" scale="18" orientation="landscape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4E60-F17D-4ADC-84D0-4C2DA5B7E59F}">
  <dimension ref="A1:AA48"/>
  <sheetViews>
    <sheetView zoomScale="112" zoomScaleNormal="112" workbookViewId="0">
      <selection activeCell="F29" sqref="F29"/>
    </sheetView>
  </sheetViews>
  <sheetFormatPr defaultRowHeight="15" x14ac:dyDescent="0.25"/>
  <cols>
    <col min="1" max="1" width="21.42578125" customWidth="1"/>
    <col min="2" max="2" width="30.5703125" bestFit="1" customWidth="1"/>
    <col min="3" max="3" width="15.42578125" bestFit="1" customWidth="1"/>
    <col min="7" max="7" width="10.85546875" customWidth="1"/>
    <col min="8" max="8" width="19.5703125" bestFit="1" customWidth="1"/>
    <col min="9" max="13" width="10" bestFit="1" customWidth="1"/>
    <col min="14" max="14" width="11" style="2" bestFit="1" customWidth="1"/>
    <col min="15" max="15" width="10" bestFit="1" customWidth="1"/>
    <col min="17" max="17" width="9.5703125" bestFit="1" customWidth="1"/>
    <col min="18" max="18" width="11.5703125" bestFit="1" customWidth="1"/>
  </cols>
  <sheetData>
    <row r="1" spans="1:27" x14ac:dyDescent="0.25">
      <c r="A1" s="9"/>
      <c r="B1" s="41" t="s">
        <v>55</v>
      </c>
      <c r="C1" s="3" t="s">
        <v>4</v>
      </c>
      <c r="D1" s="3" t="s">
        <v>3</v>
      </c>
      <c r="E1" s="3" t="s">
        <v>24</v>
      </c>
      <c r="H1" s="3" t="s">
        <v>7</v>
      </c>
      <c r="I1" s="4">
        <v>10</v>
      </c>
      <c r="J1" s="4">
        <f>+I1+1</f>
        <v>11</v>
      </c>
      <c r="K1" s="4">
        <f t="shared" ref="K1:M1" si="0">+J1+1</f>
        <v>12</v>
      </c>
      <c r="L1" s="4">
        <f t="shared" si="0"/>
        <v>13</v>
      </c>
      <c r="M1" s="4">
        <f t="shared" si="0"/>
        <v>14</v>
      </c>
      <c r="N1" s="3" t="s">
        <v>8</v>
      </c>
      <c r="O1" s="32">
        <f>SUM(P1:T1)</f>
        <v>31</v>
      </c>
      <c r="P1">
        <v>5</v>
      </c>
      <c r="Q1">
        <v>7</v>
      </c>
      <c r="R1">
        <v>7</v>
      </c>
      <c r="S1">
        <v>7</v>
      </c>
      <c r="T1">
        <v>5</v>
      </c>
      <c r="U1">
        <v>0</v>
      </c>
    </row>
    <row r="2" spans="1:27" x14ac:dyDescent="0.25">
      <c r="A2" s="142"/>
      <c r="B2" s="5" t="s">
        <v>54</v>
      </c>
      <c r="C2" s="162">
        <f>(3414688-492287)+426793</f>
        <v>3349194</v>
      </c>
      <c r="D2">
        <f>+C2/$O$1</f>
        <v>108038.51612903226</v>
      </c>
      <c r="E2" s="1">
        <f>+N5</f>
        <v>5.383103316853302</v>
      </c>
      <c r="F2" s="1">
        <f>+C2/$N$4</f>
        <v>5.383103316853302</v>
      </c>
      <c r="G2" s="141"/>
      <c r="P2" s="34" t="s">
        <v>34</v>
      </c>
      <c r="Q2" s="34" t="s">
        <v>42</v>
      </c>
      <c r="R2" s="34" t="s">
        <v>31</v>
      </c>
      <c r="S2">
        <f>3958/3</f>
        <v>1319.3333333333333</v>
      </c>
      <c r="T2" s="174" t="s">
        <v>49</v>
      </c>
      <c r="U2" s="174"/>
      <c r="V2" s="174"/>
      <c r="W2" s="174"/>
      <c r="X2" s="174"/>
      <c r="Y2" s="174"/>
      <c r="Z2" s="174"/>
    </row>
    <row r="3" spans="1:27" x14ac:dyDescent="0.25">
      <c r="A3" s="54"/>
      <c r="B3" s="5" t="s">
        <v>26</v>
      </c>
      <c r="C3" s="162">
        <f>(1452399)</f>
        <v>1452399</v>
      </c>
      <c r="D3">
        <f>+C3/$O$1</f>
        <v>46851.580645161288</v>
      </c>
      <c r="E3" s="1">
        <f>+N9</f>
        <v>2.3344165415005578</v>
      </c>
      <c r="F3" s="1">
        <f>+C3/$N$4</f>
        <v>2.3344165415005578</v>
      </c>
      <c r="H3" s="3" t="s">
        <v>25</v>
      </c>
      <c r="I3" s="7">
        <f>+$D$2*$P$1</f>
        <v>540192.58064516133</v>
      </c>
      <c r="J3" s="7">
        <f>+$D$2*$Q$1</f>
        <v>756269.61290322582</v>
      </c>
      <c r="K3" s="7">
        <f>+$D$2*$R$1</f>
        <v>756269.61290322582</v>
      </c>
      <c r="L3" s="7">
        <f>+$D$2*$S$1</f>
        <v>756269.61290322582</v>
      </c>
      <c r="M3" s="7">
        <f>+$D$2*$T$1</f>
        <v>540192.58064516133</v>
      </c>
      <c r="N3" s="8">
        <f>SUM(I3:M3)</f>
        <v>3349194</v>
      </c>
      <c r="O3" s="68" t="s">
        <v>40</v>
      </c>
      <c r="P3" s="35">
        <f>+Z3</f>
        <v>427676.81</v>
      </c>
      <c r="Q3" s="35">
        <v>233857.8414</v>
      </c>
      <c r="R3" s="35">
        <v>10833</v>
      </c>
      <c r="S3">
        <v>181665</v>
      </c>
      <c r="T3" s="40" t="s">
        <v>40</v>
      </c>
      <c r="U3" s="14">
        <v>81642</v>
      </c>
      <c r="V3" s="14">
        <v>106305.61</v>
      </c>
      <c r="W3" s="14">
        <v>66809.41</v>
      </c>
      <c r="X3" s="14">
        <v>106275.05</v>
      </c>
      <c r="Y3" s="14">
        <v>66644.739999999991</v>
      </c>
      <c r="Z3" s="39">
        <f>SUM(U3:Y3)</f>
        <v>427676.81</v>
      </c>
      <c r="AA3" s="71"/>
    </row>
    <row r="4" spans="1:27" x14ac:dyDescent="0.25">
      <c r="A4" s="9"/>
      <c r="B4" s="5" t="s">
        <v>27</v>
      </c>
      <c r="C4" s="139">
        <f>49700+5686+21054+33807+2000+4344+6800+24820</f>
        <v>148211</v>
      </c>
      <c r="D4">
        <f t="shared" ref="D4:D12" si="1">+C4/$O$1</f>
        <v>4781</v>
      </c>
      <c r="E4" s="1">
        <f>+N13</f>
        <v>0.23821705332511187</v>
      </c>
      <c r="F4" s="1">
        <f>+C4/$N$4</f>
        <v>0.23821705332511187</v>
      </c>
      <c r="G4" s="54"/>
      <c r="H4" s="3" t="s">
        <v>5</v>
      </c>
      <c r="I4">
        <f>U5</f>
        <v>105887.81</v>
      </c>
      <c r="J4">
        <f t="shared" ref="J4:M4" si="2">V5</f>
        <v>141333.20000000001</v>
      </c>
      <c r="K4">
        <f t="shared" si="2"/>
        <v>104782.36000000002</v>
      </c>
      <c r="L4">
        <f t="shared" si="2"/>
        <v>151761.38999999998</v>
      </c>
      <c r="M4">
        <f t="shared" si="2"/>
        <v>118403.12399999998</v>
      </c>
      <c r="N4" s="3">
        <f>SUM(I4:M4)</f>
        <v>622167.88399999996</v>
      </c>
      <c r="O4" s="68" t="s">
        <v>41</v>
      </c>
      <c r="P4" s="35">
        <f>+Z4</f>
        <v>194491.07399999999</v>
      </c>
      <c r="Q4" s="35">
        <v>81578.2068</v>
      </c>
      <c r="R4" s="35">
        <v>12360</v>
      </c>
      <c r="S4">
        <v>51904</v>
      </c>
      <c r="T4" s="40" t="s">
        <v>41</v>
      </c>
      <c r="U4" s="14">
        <v>24245.809999999994</v>
      </c>
      <c r="V4" s="14">
        <v>35027.590000000011</v>
      </c>
      <c r="W4" s="14">
        <v>37972.950000000004</v>
      </c>
      <c r="X4" s="14">
        <v>45486.339999999989</v>
      </c>
      <c r="Y4" s="14">
        <v>51758.383999999991</v>
      </c>
      <c r="Z4" s="39">
        <f>SUM(U4:Y4)</f>
        <v>194491.07399999999</v>
      </c>
    </row>
    <row r="5" spans="1:27" x14ac:dyDescent="0.25">
      <c r="A5" s="9"/>
      <c r="B5" s="5" t="s">
        <v>9</v>
      </c>
      <c r="C5" s="139">
        <v>2240000</v>
      </c>
      <c r="D5">
        <f t="shared" si="1"/>
        <v>72258.06451612903</v>
      </c>
      <c r="E5" s="1">
        <f>+N17</f>
        <v>3.6003144128860245</v>
      </c>
      <c r="F5" s="1">
        <f>+C5/$N$4</f>
        <v>3.6003144128860245</v>
      </c>
      <c r="G5" s="54"/>
      <c r="H5" s="3" t="s">
        <v>14</v>
      </c>
      <c r="I5" s="1">
        <f>IFERROR((I3/I4),"--")</f>
        <v>5.1015558886821939</v>
      </c>
      <c r="J5" s="1">
        <f>IFERROR((J3/J4),"--")</f>
        <v>5.3509692903240413</v>
      </c>
      <c r="K5" s="1">
        <f t="shared" ref="K5:M5" si="3">IFERROR((K3/K4),"--")</f>
        <v>7.2175279589353183</v>
      </c>
      <c r="L5" s="1">
        <f t="shared" si="3"/>
        <v>4.9832807468567983</v>
      </c>
      <c r="M5" s="1">
        <f t="shared" si="3"/>
        <v>4.5623169591805821</v>
      </c>
      <c r="N5" s="6">
        <f>+N3/N4</f>
        <v>5.383103316853302</v>
      </c>
      <c r="O5" s="68" t="s">
        <v>57</v>
      </c>
      <c r="R5" s="35"/>
      <c r="S5">
        <f>S4-Q4</f>
        <v>-29674.2068</v>
      </c>
      <c r="T5" s="40" t="s">
        <v>8</v>
      </c>
      <c r="U5" s="14">
        <f>+U4+U3</f>
        <v>105887.81</v>
      </c>
      <c r="V5" s="14">
        <f>+V4+V3</f>
        <v>141333.20000000001</v>
      </c>
      <c r="W5" s="14">
        <f>+W4+W3</f>
        <v>104782.36000000002</v>
      </c>
      <c r="X5" s="14">
        <f>+X4+X3</f>
        <v>151761.38999999998</v>
      </c>
      <c r="Y5" s="14">
        <f>+Y4+Y3</f>
        <v>118403.12399999998</v>
      </c>
      <c r="Z5" s="39">
        <f>SUM(U5:Y5)</f>
        <v>622167.88399999996</v>
      </c>
    </row>
    <row r="6" spans="1:27" x14ac:dyDescent="0.25">
      <c r="A6" s="9"/>
      <c r="B6" s="5" t="s">
        <v>15</v>
      </c>
      <c r="C6" s="139"/>
      <c r="D6">
        <f t="shared" si="1"/>
        <v>0</v>
      </c>
      <c r="E6" s="1">
        <f>+N21</f>
        <v>0</v>
      </c>
      <c r="F6" s="1">
        <f t="shared" ref="F6:F12" si="4">+C6/$N$4</f>
        <v>0</v>
      </c>
      <c r="G6" s="141"/>
      <c r="O6" s="68" t="s">
        <v>8</v>
      </c>
      <c r="P6" s="66">
        <f>SUM(P3:P5)</f>
        <v>622167.88399999996</v>
      </c>
      <c r="Q6" s="66">
        <f>SUM(Q3:Q5)</f>
        <v>315436.04820000002</v>
      </c>
      <c r="R6" s="66">
        <f>SUM(R3:R5)</f>
        <v>23193</v>
      </c>
    </row>
    <row r="7" spans="1:27" x14ac:dyDescent="0.25">
      <c r="A7" s="9"/>
      <c r="B7" s="5" t="s">
        <v>16</v>
      </c>
      <c r="C7" s="139">
        <v>56900</v>
      </c>
      <c r="D7">
        <f t="shared" si="1"/>
        <v>1835.483870967742</v>
      </c>
      <c r="E7" s="1">
        <f>+N25</f>
        <v>9.1454415220185173E-2</v>
      </c>
      <c r="F7" s="1">
        <f t="shared" si="4"/>
        <v>9.1454415220185173E-2</v>
      </c>
      <c r="H7" s="3" t="s">
        <v>26</v>
      </c>
      <c r="I7" s="7">
        <f>+$D$3*$P$1</f>
        <v>234257.90322580643</v>
      </c>
      <c r="J7" s="7">
        <f>+$D$3*$Q$1</f>
        <v>327961.06451612903</v>
      </c>
      <c r="K7" s="7">
        <f>+$D$3*$R$1</f>
        <v>327961.06451612903</v>
      </c>
      <c r="L7" s="7">
        <f>+$D$3*$S$1</f>
        <v>327961.06451612903</v>
      </c>
      <c r="M7" s="7">
        <f>+$D$3*$T$1</f>
        <v>234257.90322580643</v>
      </c>
      <c r="N7" s="3">
        <f>SUM(I7:M7)</f>
        <v>1452399</v>
      </c>
      <c r="O7" s="68" t="s">
        <v>4</v>
      </c>
      <c r="P7" s="67"/>
      <c r="Q7" s="66">
        <f>+Q6*44</f>
        <v>13879186.120800002</v>
      </c>
      <c r="R7" s="66">
        <f>+(R6*400)-(R6*230)</f>
        <v>3942810</v>
      </c>
    </row>
    <row r="8" spans="1:27" x14ac:dyDescent="0.25">
      <c r="A8" s="9"/>
      <c r="B8" s="5" t="s">
        <v>17</v>
      </c>
      <c r="C8" s="167">
        <f>55385+73400+235246+322500</f>
        <v>686531</v>
      </c>
      <c r="D8">
        <f t="shared" si="1"/>
        <v>22146.16129032258</v>
      </c>
      <c r="E8" s="1">
        <f>+N29</f>
        <v>1.1034497563361854</v>
      </c>
      <c r="F8" s="1">
        <f t="shared" si="4"/>
        <v>1.1034497563361854</v>
      </c>
      <c r="H8" s="3" t="s">
        <v>6</v>
      </c>
      <c r="I8">
        <f>+I$4</f>
        <v>105887.81</v>
      </c>
      <c r="J8">
        <f t="shared" ref="J8:M8" si="5">+J$4</f>
        <v>141333.20000000001</v>
      </c>
      <c r="K8">
        <f t="shared" si="5"/>
        <v>104782.36000000002</v>
      </c>
      <c r="L8">
        <f t="shared" si="5"/>
        <v>151761.38999999998</v>
      </c>
      <c r="M8">
        <f t="shared" si="5"/>
        <v>118403.12399999998</v>
      </c>
      <c r="N8" s="3">
        <f>SUM(I8:M8)</f>
        <v>622167.88399999996</v>
      </c>
      <c r="O8" s="68" t="s">
        <v>24</v>
      </c>
      <c r="P8" s="67"/>
      <c r="Q8" s="69">
        <f>+Q7/P6</f>
        <v>22.307782959751748</v>
      </c>
      <c r="R8" s="69">
        <f>+R7/P6</f>
        <v>6.3372123527996189</v>
      </c>
    </row>
    <row r="9" spans="1:27" x14ac:dyDescent="0.25">
      <c r="A9" s="9"/>
      <c r="B9" s="5" t="s">
        <v>18</v>
      </c>
      <c r="C9" s="139">
        <f>1364+202920</f>
        <v>204284</v>
      </c>
      <c r="D9">
        <f t="shared" si="1"/>
        <v>6589.8064516129034</v>
      </c>
      <c r="E9" s="1">
        <f>+N33</f>
        <v>0.32834224532232531</v>
      </c>
      <c r="F9" s="1">
        <f t="shared" si="4"/>
        <v>0.32834224532232525</v>
      </c>
      <c r="H9" s="3" t="s">
        <v>13</v>
      </c>
      <c r="I9" s="1">
        <f>IFERROR((I7/I8),"--")</f>
        <v>2.2123217320842357</v>
      </c>
      <c r="J9" s="1">
        <f t="shared" ref="J9" si="6">IFERROR((J7/J8),"--")</f>
        <v>2.3204814192003647</v>
      </c>
      <c r="K9" s="1">
        <f t="shared" ref="K9" si="7">IFERROR((K7/K8),"--")</f>
        <v>3.1299263016802539</v>
      </c>
      <c r="L9" s="1">
        <f t="shared" ref="L9" si="8">IFERROR((L7/L8),"--")</f>
        <v>2.1610309744535754</v>
      </c>
      <c r="M9" s="1">
        <f t="shared" ref="M9" si="9">IFERROR((M7/M8),"--")</f>
        <v>1.9784773856626152</v>
      </c>
      <c r="N9" s="6">
        <f t="shared" ref="N9" si="10">+N7/N8</f>
        <v>2.3344165415005578</v>
      </c>
      <c r="Q9">
        <f>+Q3-230945</f>
        <v>2912.8414000000048</v>
      </c>
      <c r="R9" s="53">
        <f>+R6/$P$6</f>
        <v>3.7277719722350701E-2</v>
      </c>
    </row>
    <row r="10" spans="1:27" x14ac:dyDescent="0.25">
      <c r="A10" s="9"/>
      <c r="B10" s="5" t="s">
        <v>20</v>
      </c>
      <c r="C10" s="139">
        <v>1536845</v>
      </c>
      <c r="D10">
        <f t="shared" si="1"/>
        <v>49575.645161290326</v>
      </c>
      <c r="E10" s="1">
        <f>+N37</f>
        <v>2.4701451802999208</v>
      </c>
      <c r="F10" s="1">
        <f t="shared" si="4"/>
        <v>2.4701451802999208</v>
      </c>
    </row>
    <row r="11" spans="1:27" x14ac:dyDescent="0.25">
      <c r="A11" s="9"/>
      <c r="B11" s="5" t="s">
        <v>28</v>
      </c>
      <c r="C11" s="139">
        <v>2287239</v>
      </c>
      <c r="D11">
        <f t="shared" si="1"/>
        <v>73781.903225806454</v>
      </c>
      <c r="E11" s="1">
        <f>+N41</f>
        <v>3.6762408649174185</v>
      </c>
      <c r="F11" s="1">
        <f t="shared" si="4"/>
        <v>3.6762408649174185</v>
      </c>
      <c r="H11" s="3" t="s">
        <v>11</v>
      </c>
      <c r="I11" s="7">
        <f>+$D$4*$P$1</f>
        <v>23905</v>
      </c>
      <c r="J11" s="7">
        <f>+$D$4*$Q$1</f>
        <v>33467</v>
      </c>
      <c r="K11" s="7">
        <f>+$D$4*$R$1</f>
        <v>33467</v>
      </c>
      <c r="L11" s="7">
        <f>+$D$4*$S$1</f>
        <v>33467</v>
      </c>
      <c r="M11" s="7">
        <f>+$D$4*$T$1</f>
        <v>23905</v>
      </c>
      <c r="N11" s="3">
        <f>SUM(I11:M11)</f>
        <v>148211</v>
      </c>
      <c r="S11" t="s">
        <v>71</v>
      </c>
      <c r="T11" t="s">
        <v>72</v>
      </c>
      <c r="U11" t="s">
        <v>73</v>
      </c>
      <c r="W11" t="s">
        <v>74</v>
      </c>
    </row>
    <row r="12" spans="1:27" x14ac:dyDescent="0.25">
      <c r="A12" s="9"/>
      <c r="B12" s="5" t="s">
        <v>19</v>
      </c>
      <c r="C12" s="139"/>
      <c r="D12">
        <f t="shared" si="1"/>
        <v>0</v>
      </c>
      <c r="E12" s="1">
        <f>+N45</f>
        <v>0</v>
      </c>
      <c r="F12" s="1">
        <f t="shared" si="4"/>
        <v>0</v>
      </c>
      <c r="H12" s="3" t="s">
        <v>6</v>
      </c>
      <c r="I12">
        <f>+I$4</f>
        <v>105887.81</v>
      </c>
      <c r="J12">
        <f t="shared" ref="J12:M12" si="11">+J$4</f>
        <v>141333.20000000001</v>
      </c>
      <c r="K12">
        <f t="shared" si="11"/>
        <v>104782.36000000002</v>
      </c>
      <c r="L12">
        <f t="shared" si="11"/>
        <v>151761.38999999998</v>
      </c>
      <c r="M12">
        <f t="shared" si="11"/>
        <v>118403.12399999998</v>
      </c>
      <c r="N12" s="3">
        <f>SUM(I12:M12)</f>
        <v>622167.88399999996</v>
      </c>
      <c r="O12" s="1"/>
      <c r="R12" t="s">
        <v>62</v>
      </c>
      <c r="S12">
        <v>1078</v>
      </c>
      <c r="T12">
        <v>97020</v>
      </c>
      <c r="U12" s="54">
        <f>+T12/S12</f>
        <v>90</v>
      </c>
      <c r="V12" s="54"/>
    </row>
    <row r="13" spans="1:27" x14ac:dyDescent="0.25">
      <c r="A13" s="9"/>
      <c r="B13" s="31" t="s">
        <v>8</v>
      </c>
      <c r="C13" s="140">
        <f>SUM(C2:C12)</f>
        <v>11961603</v>
      </c>
      <c r="D13" s="2">
        <f>SUM(D2:D12)</f>
        <v>385858.16129032255</v>
      </c>
      <c r="E13" s="11">
        <f>SUM(E2:E12)</f>
        <v>19.225683786661033</v>
      </c>
      <c r="F13" s="11">
        <f>SUM(F2:F12)</f>
        <v>19.225683786661033</v>
      </c>
      <c r="H13" s="3" t="s">
        <v>12</v>
      </c>
      <c r="I13" s="1">
        <f>IFERROR((I11/I12),"--")</f>
        <v>0.22575780913780349</v>
      </c>
      <c r="J13" s="1">
        <f t="shared" ref="J13" si="12">IFERROR((J11/J12),"--")</f>
        <v>0.23679503471229688</v>
      </c>
      <c r="K13" s="1">
        <f t="shared" ref="K13" si="13">IFERROR((K11/K12),"--")</f>
        <v>0.31939536387613332</v>
      </c>
      <c r="L13" s="1">
        <f t="shared" ref="L13" si="14">IFERROR((L11/L12),"--")</f>
        <v>0.22052381043689706</v>
      </c>
      <c r="M13" s="1">
        <f t="shared" ref="M13" si="15">IFERROR((M11/M12),"--")</f>
        <v>0.20189501081069453</v>
      </c>
      <c r="N13" s="6">
        <f t="shared" ref="N13" si="16">+N11/N12</f>
        <v>0.23821705332511187</v>
      </c>
      <c r="R13" t="s">
        <v>62</v>
      </c>
      <c r="S13">
        <v>4149</v>
      </c>
      <c r="T13">
        <v>622350</v>
      </c>
      <c r="U13" s="54">
        <f t="shared" ref="U13:U21" si="17">+T13/S13</f>
        <v>150</v>
      </c>
      <c r="V13" s="54"/>
    </row>
    <row r="14" spans="1:27" x14ac:dyDescent="0.25">
      <c r="A14" s="9"/>
      <c r="B14" s="31" t="s">
        <v>30</v>
      </c>
      <c r="C14" s="141"/>
      <c r="F14" s="1">
        <f>+Q8</f>
        <v>22.307782959751748</v>
      </c>
      <c r="R14" t="s">
        <v>63</v>
      </c>
      <c r="S14">
        <v>1245</v>
      </c>
      <c r="T14">
        <v>249000</v>
      </c>
      <c r="U14" s="54">
        <f t="shared" si="17"/>
        <v>200</v>
      </c>
      <c r="V14" s="54"/>
    </row>
    <row r="15" spans="1:27" x14ac:dyDescent="0.25">
      <c r="A15" s="9"/>
      <c r="B15" s="31" t="s">
        <v>31</v>
      </c>
      <c r="C15" s="141"/>
      <c r="F15" s="57">
        <f>+R8</f>
        <v>6.3372123527996189</v>
      </c>
      <c r="H15" s="3" t="s">
        <v>9</v>
      </c>
      <c r="I15" s="7">
        <f>+$D$5*$P$1</f>
        <v>361290.32258064515</v>
      </c>
      <c r="J15" s="7">
        <f>+$D$5*$Q$1</f>
        <v>505806.45161290321</v>
      </c>
      <c r="K15" s="7">
        <f>+$D$5*$R$1</f>
        <v>505806.45161290321</v>
      </c>
      <c r="L15" s="7">
        <f>+$D$5*$S$1</f>
        <v>505806.45161290321</v>
      </c>
      <c r="M15" s="7">
        <f>+$D$5*$T$1</f>
        <v>361290.32258064515</v>
      </c>
      <c r="N15" s="3">
        <f>SUM(I15:M15)</f>
        <v>2240000</v>
      </c>
      <c r="R15" t="s">
        <v>80</v>
      </c>
      <c r="S15">
        <v>16791</v>
      </c>
      <c r="T15">
        <v>5373120</v>
      </c>
      <c r="U15" s="54">
        <f t="shared" si="17"/>
        <v>320</v>
      </c>
      <c r="V15" s="54"/>
    </row>
    <row r="16" spans="1:27" x14ac:dyDescent="0.25">
      <c r="B16" s="31" t="s">
        <v>33</v>
      </c>
      <c r="C16" s="141"/>
      <c r="E16" s="1"/>
      <c r="F16" s="11">
        <f>+F15+F14+F13</f>
        <v>47.870679099212396</v>
      </c>
      <c r="H16" s="3" t="s">
        <v>6</v>
      </c>
      <c r="I16">
        <f>+I$4</f>
        <v>105887.81</v>
      </c>
      <c r="J16">
        <f t="shared" ref="J16:M16" si="18">+J$4</f>
        <v>141333.20000000001</v>
      </c>
      <c r="K16">
        <f t="shared" si="18"/>
        <v>104782.36000000002</v>
      </c>
      <c r="L16">
        <f t="shared" si="18"/>
        <v>151761.38999999998</v>
      </c>
      <c r="M16">
        <f t="shared" si="18"/>
        <v>118403.12399999998</v>
      </c>
      <c r="N16" s="3">
        <f>SUM(I16:M16)</f>
        <v>622167.88399999996</v>
      </c>
      <c r="R16" t="s">
        <v>81</v>
      </c>
      <c r="S16">
        <v>589</v>
      </c>
      <c r="T16">
        <v>188480</v>
      </c>
      <c r="U16" s="54">
        <f t="shared" si="17"/>
        <v>320</v>
      </c>
      <c r="V16" s="54"/>
    </row>
    <row r="17" spans="5:22" x14ac:dyDescent="0.25">
      <c r="H17" s="3" t="s">
        <v>12</v>
      </c>
      <c r="I17" s="1">
        <f>IFERROR((I15/I16),"--")</f>
        <v>3.412010528696789</v>
      </c>
      <c r="J17" s="1">
        <f t="shared" ref="J17" si="19">IFERROR((J15/J16),"--")</f>
        <v>3.5788226093579087</v>
      </c>
      <c r="K17" s="1">
        <f t="shared" ref="K17" si="20">IFERROR((K15/K16),"--")</f>
        <v>4.8272099579824612</v>
      </c>
      <c r="L17" s="1">
        <f t="shared" ref="L17" si="21">IFERROR((L15/L16),"--")</f>
        <v>3.3329060284233245</v>
      </c>
      <c r="M17" s="1">
        <f t="shared" ref="M17" si="22">IFERROR((M15/M16),"--")</f>
        <v>3.0513580248156731</v>
      </c>
      <c r="N17" s="6">
        <f t="shared" ref="N17" si="23">+N15/N16</f>
        <v>3.6003144128860245</v>
      </c>
      <c r="R17" t="s">
        <v>65</v>
      </c>
      <c r="S17">
        <v>9969</v>
      </c>
      <c r="T17">
        <v>3190080</v>
      </c>
      <c r="U17" s="54">
        <f t="shared" si="17"/>
        <v>320</v>
      </c>
      <c r="V17" s="54"/>
    </row>
    <row r="18" spans="5:22" x14ac:dyDescent="0.25">
      <c r="E18" s="1"/>
      <c r="F18" s="1"/>
      <c r="R18" t="s">
        <v>64</v>
      </c>
      <c r="S18">
        <v>10037</v>
      </c>
      <c r="T18">
        <v>3211840</v>
      </c>
      <c r="U18" s="54">
        <f t="shared" si="17"/>
        <v>320</v>
      </c>
      <c r="V18" s="54"/>
    </row>
    <row r="19" spans="5:22" x14ac:dyDescent="0.25">
      <c r="E19" s="1"/>
      <c r="F19" s="1"/>
      <c r="H19" s="3" t="s">
        <v>15</v>
      </c>
      <c r="I19" s="7">
        <f>+$D$6*$P$1</f>
        <v>0</v>
      </c>
      <c r="J19" s="7">
        <f>+$D$6*$Q$1</f>
        <v>0</v>
      </c>
      <c r="K19" s="7">
        <f>+$D$6*$R$1</f>
        <v>0</v>
      </c>
      <c r="L19" s="7">
        <f>+$D$6*$S$1</f>
        <v>0</v>
      </c>
      <c r="M19" s="7">
        <f>+$D$6*$T$1</f>
        <v>0</v>
      </c>
      <c r="N19" s="8">
        <f>SUM(I19:M19)</f>
        <v>0</v>
      </c>
      <c r="R19" t="s">
        <v>82</v>
      </c>
      <c r="S19">
        <v>1234</v>
      </c>
      <c r="T19">
        <v>185100</v>
      </c>
      <c r="U19" s="54">
        <f t="shared" si="17"/>
        <v>150</v>
      </c>
      <c r="V19" s="56"/>
    </row>
    <row r="20" spans="5:22" x14ac:dyDescent="0.25">
      <c r="E20" s="1"/>
      <c r="F20" s="1"/>
      <c r="H20" s="3" t="s">
        <v>6</v>
      </c>
      <c r="I20">
        <f>+I$4</f>
        <v>105887.81</v>
      </c>
      <c r="J20">
        <f t="shared" ref="J20:M20" si="24">+J$4</f>
        <v>141333.20000000001</v>
      </c>
      <c r="K20">
        <f t="shared" si="24"/>
        <v>104782.36000000002</v>
      </c>
      <c r="L20">
        <f t="shared" si="24"/>
        <v>151761.38999999998</v>
      </c>
      <c r="M20">
        <f t="shared" si="24"/>
        <v>118403.12399999998</v>
      </c>
      <c r="N20" s="3">
        <f>SUM(I20:M20)</f>
        <v>622167.88399999996</v>
      </c>
      <c r="R20" t="s">
        <v>83</v>
      </c>
      <c r="S20">
        <v>303</v>
      </c>
      <c r="T20">
        <v>15150</v>
      </c>
      <c r="U20" s="54">
        <f t="shared" si="17"/>
        <v>50</v>
      </c>
    </row>
    <row r="21" spans="5:22" x14ac:dyDescent="0.25">
      <c r="H21" s="3" t="s">
        <v>12</v>
      </c>
      <c r="I21" s="1">
        <f>IFERROR((I19/I20),"--")</f>
        <v>0</v>
      </c>
      <c r="J21" s="1">
        <f t="shared" ref="J21" si="25">IFERROR((J19/J20),"--")</f>
        <v>0</v>
      </c>
      <c r="K21" s="1">
        <f t="shared" ref="K21" si="26">IFERROR((K19/K20),"--")</f>
        <v>0</v>
      </c>
      <c r="L21" s="1">
        <f t="shared" ref="L21" si="27">IFERROR((L19/L20),"--")</f>
        <v>0</v>
      </c>
      <c r="M21" s="1">
        <f t="shared" ref="M21" si="28">IFERROR((M19/M20),"--")</f>
        <v>0</v>
      </c>
      <c r="N21" s="6">
        <f t="shared" ref="N21" si="29">+N19/N20</f>
        <v>0</v>
      </c>
      <c r="R21" t="s">
        <v>60</v>
      </c>
      <c r="S21">
        <v>431</v>
      </c>
      <c r="T21">
        <v>64650</v>
      </c>
      <c r="U21" s="54">
        <f t="shared" si="17"/>
        <v>150</v>
      </c>
    </row>
    <row r="22" spans="5:22" x14ac:dyDescent="0.25">
      <c r="E22" s="1"/>
      <c r="F22" s="1"/>
      <c r="R22" s="2" t="s">
        <v>66</v>
      </c>
      <c r="S22" s="2">
        <f>SUM(S12:S21)</f>
        <v>45826</v>
      </c>
      <c r="T22" s="2">
        <f>SUM(T12:T21)</f>
        <v>13196790</v>
      </c>
      <c r="U22" s="56">
        <f>+T22/S22</f>
        <v>287.97603980273209</v>
      </c>
    </row>
    <row r="23" spans="5:22" x14ac:dyDescent="0.25">
      <c r="E23" s="1"/>
      <c r="F23" s="1"/>
      <c r="H23" s="3" t="s">
        <v>16</v>
      </c>
      <c r="I23" s="7">
        <f>+$D$7*$P$1</f>
        <v>9177.4193548387102</v>
      </c>
      <c r="J23" s="7">
        <f>+$D$7*$Q$1</f>
        <v>12848.387096774193</v>
      </c>
      <c r="K23" s="7">
        <f>+$D$7*$R$1</f>
        <v>12848.387096774193</v>
      </c>
      <c r="L23" s="7">
        <f>+$D$7*$S$1</f>
        <v>12848.387096774193</v>
      </c>
      <c r="M23" s="7">
        <f>+$D$7*$T$1</f>
        <v>9177.4193548387102</v>
      </c>
      <c r="N23" s="8">
        <f>SUM(I23:M23)</f>
        <v>56900</v>
      </c>
      <c r="U23" s="54"/>
    </row>
    <row r="24" spans="5:22" x14ac:dyDescent="0.25">
      <c r="E24" s="1"/>
      <c r="F24" s="1"/>
      <c r="H24" s="3" t="s">
        <v>6</v>
      </c>
      <c r="I24">
        <f>+I$4</f>
        <v>105887.81</v>
      </c>
      <c r="J24">
        <f t="shared" ref="J24:M24" si="30">+J$4</f>
        <v>141333.20000000001</v>
      </c>
      <c r="K24">
        <f t="shared" si="30"/>
        <v>104782.36000000002</v>
      </c>
      <c r="L24">
        <f t="shared" si="30"/>
        <v>151761.38999999998</v>
      </c>
      <c r="M24">
        <f t="shared" si="30"/>
        <v>118403.12399999998</v>
      </c>
      <c r="N24" s="3">
        <f>SUM(I24:M24)</f>
        <v>622167.88399999996</v>
      </c>
    </row>
    <row r="25" spans="5:22" x14ac:dyDescent="0.25">
      <c r="H25" s="3" t="s">
        <v>12</v>
      </c>
      <c r="I25" s="1">
        <f>IFERROR((I23/I24),"--")</f>
        <v>8.6671160304842551E-2</v>
      </c>
      <c r="J25" s="1">
        <f t="shared" ref="J25" si="31">IFERROR((J23/J24),"--")</f>
        <v>9.0908485032350453E-2</v>
      </c>
      <c r="K25" s="1">
        <f t="shared" ref="K25" si="32">IFERROR((K23/K24),"--")</f>
        <v>0.12261975295053663</v>
      </c>
      <c r="L25" s="1">
        <f t="shared" ref="L25" si="33">IFERROR((L23/L24),"--")</f>
        <v>8.466176473986034E-2</v>
      </c>
      <c r="M25" s="1">
        <f t="shared" ref="M25" si="34">IFERROR((M23/M24),"--")</f>
        <v>7.7509942683933838E-2</v>
      </c>
      <c r="N25" s="65">
        <f t="shared" ref="N25" si="35">+N23/N24</f>
        <v>9.1454415220185173E-2</v>
      </c>
    </row>
    <row r="26" spans="5:22" x14ac:dyDescent="0.25">
      <c r="E26" s="1"/>
      <c r="F26" s="1"/>
    </row>
    <row r="27" spans="5:22" x14ac:dyDescent="0.25">
      <c r="E27" s="1"/>
      <c r="F27" s="1"/>
      <c r="H27" s="5" t="s">
        <v>21</v>
      </c>
      <c r="I27" s="7">
        <f>+$D$8*$P$1</f>
        <v>110730.80645161289</v>
      </c>
      <c r="J27" s="7">
        <f>+$D$8*$Q$1</f>
        <v>155023.12903225806</v>
      </c>
      <c r="K27" s="7">
        <f>+$D$8*$R$1</f>
        <v>155023.12903225806</v>
      </c>
      <c r="L27" s="7">
        <f>+$D$8*$S$1</f>
        <v>155023.12903225806</v>
      </c>
      <c r="M27" s="7">
        <f>+$D$8*$T$1</f>
        <v>110730.80645161289</v>
      </c>
      <c r="N27" s="8">
        <f>SUM(I27:M27)</f>
        <v>686531</v>
      </c>
    </row>
    <row r="28" spans="5:22" x14ac:dyDescent="0.25">
      <c r="E28" s="1"/>
      <c r="F28" s="1"/>
      <c r="H28" s="3" t="s">
        <v>6</v>
      </c>
      <c r="I28">
        <f>+I$4</f>
        <v>105887.81</v>
      </c>
      <c r="J28">
        <f t="shared" ref="J28:M28" si="36">+J$4</f>
        <v>141333.20000000001</v>
      </c>
      <c r="K28">
        <f t="shared" si="36"/>
        <v>104782.36000000002</v>
      </c>
      <c r="L28">
        <f t="shared" si="36"/>
        <v>151761.38999999998</v>
      </c>
      <c r="M28">
        <f t="shared" si="36"/>
        <v>118403.12399999998</v>
      </c>
      <c r="N28" s="3">
        <f>SUM(I28:M28)</f>
        <v>622167.88399999996</v>
      </c>
    </row>
    <row r="29" spans="5:22" x14ac:dyDescent="0.25">
      <c r="H29" s="3" t="s">
        <v>12</v>
      </c>
      <c r="I29" s="1">
        <f>IFERROR((I27/I28),"--")</f>
        <v>1.0457370536949711</v>
      </c>
      <c r="J29" s="1">
        <f t="shared" ref="J29" si="37">IFERROR((J27/J28),"--")</f>
        <v>1.0968627967969171</v>
      </c>
      <c r="K29" s="1">
        <f t="shared" ref="K29" si="38">IFERROR((K27/K28),"--")</f>
        <v>1.479477356992704</v>
      </c>
      <c r="L29" s="1">
        <f t="shared" ref="L29" si="39">IFERROR((L27/L28),"--")</f>
        <v>1.0214925484819168</v>
      </c>
      <c r="M29" s="1">
        <f t="shared" ref="M29" si="40">IFERROR((M27/M28),"--")</f>
        <v>0.9352017304172896</v>
      </c>
      <c r="N29" s="6">
        <f t="shared" ref="N29" si="41">+N27/N28</f>
        <v>1.1034497563361854</v>
      </c>
    </row>
    <row r="30" spans="5:22" x14ac:dyDescent="0.25">
      <c r="E30" s="1"/>
      <c r="F30" s="1"/>
    </row>
    <row r="31" spans="5:22" x14ac:dyDescent="0.25">
      <c r="E31" s="1"/>
      <c r="F31" s="1"/>
      <c r="H31" s="5" t="s">
        <v>22</v>
      </c>
      <c r="I31" s="7">
        <f>+$D$9*$P$1</f>
        <v>32949.032258064515</v>
      </c>
      <c r="J31" s="7">
        <f>+$D$9*$Q$1</f>
        <v>46128.645161290326</v>
      </c>
      <c r="K31" s="7">
        <f>+$D$9*$R$1</f>
        <v>46128.645161290326</v>
      </c>
      <c r="L31" s="7">
        <f>+$D$9*$S$1</f>
        <v>46128.645161290326</v>
      </c>
      <c r="M31" s="7">
        <f>+$D$9*$T$1</f>
        <v>32949.032258064515</v>
      </c>
      <c r="N31" s="8">
        <f>SUM(I31:M31)</f>
        <v>204284.00000000003</v>
      </c>
    </row>
    <row r="32" spans="5:22" x14ac:dyDescent="0.25">
      <c r="E32" s="1"/>
      <c r="F32" s="1"/>
      <c r="H32" s="3" t="s">
        <v>6</v>
      </c>
      <c r="I32">
        <f>+I$4</f>
        <v>105887.81</v>
      </c>
      <c r="J32">
        <f t="shared" ref="J32:M32" si="42">+J$4</f>
        <v>141333.20000000001</v>
      </c>
      <c r="K32">
        <f t="shared" si="42"/>
        <v>104782.36000000002</v>
      </c>
      <c r="L32">
        <f t="shared" si="42"/>
        <v>151761.38999999998</v>
      </c>
      <c r="M32">
        <f t="shared" si="42"/>
        <v>118403.12399999998</v>
      </c>
      <c r="N32" s="3">
        <f>SUM(I32:M32)</f>
        <v>622167.88399999996</v>
      </c>
    </row>
    <row r="33" spans="5:14" x14ac:dyDescent="0.25">
      <c r="H33" s="3" t="s">
        <v>12</v>
      </c>
      <c r="I33" s="1">
        <f>IFERROR((I31/I32),"--")</f>
        <v>0.31116926734120309</v>
      </c>
      <c r="J33" s="1">
        <f t="shared" ref="J33" si="43">IFERROR((J31/J32),"--")</f>
        <v>0.32638223121878174</v>
      </c>
      <c r="K33" s="1">
        <f t="shared" ref="K33" si="44">IFERROR((K31/K32),"--")</f>
        <v>0.44023292815021842</v>
      </c>
      <c r="L33" s="1">
        <f t="shared" ref="L33" si="45">IFERROR((L31/L32),"--")</f>
        <v>0.30395507817429934</v>
      </c>
      <c r="M33" s="1">
        <f t="shared" ref="M33" si="46">IFERROR((M31/M32),"--")</f>
        <v>0.27827840300957363</v>
      </c>
      <c r="N33" s="6">
        <f t="shared" ref="N33" si="47">+N31/N32</f>
        <v>0.32834224532232531</v>
      </c>
    </row>
    <row r="34" spans="5:14" x14ac:dyDescent="0.25">
      <c r="E34" s="1"/>
      <c r="F34" s="1"/>
    </row>
    <row r="35" spans="5:14" x14ac:dyDescent="0.25">
      <c r="E35" s="1"/>
      <c r="F35" s="1"/>
      <c r="H35" s="5" t="s">
        <v>20</v>
      </c>
      <c r="I35" s="7">
        <f>+$D$10*$P$1</f>
        <v>247878.22580645164</v>
      </c>
      <c r="J35" s="7">
        <f>+$D$10*$Q$1</f>
        <v>347029.5161290323</v>
      </c>
      <c r="K35" s="7">
        <f>+$D$10*$R$1</f>
        <v>347029.5161290323</v>
      </c>
      <c r="L35" s="7">
        <f>+$D$10*$S$1</f>
        <v>347029.5161290323</v>
      </c>
      <c r="M35" s="7">
        <f>+$D$10*$T$1</f>
        <v>247878.22580645164</v>
      </c>
      <c r="N35" s="8">
        <f>SUM(I35:M35)</f>
        <v>1536845</v>
      </c>
    </row>
    <row r="36" spans="5:14" x14ac:dyDescent="0.25">
      <c r="E36" s="1"/>
      <c r="F36" s="1"/>
      <c r="H36" s="3" t="s">
        <v>6</v>
      </c>
      <c r="I36">
        <f>+I$4</f>
        <v>105887.81</v>
      </c>
      <c r="J36">
        <f t="shared" ref="J36:M36" si="48">+J$4</f>
        <v>141333.20000000001</v>
      </c>
      <c r="K36">
        <f t="shared" si="48"/>
        <v>104782.36000000002</v>
      </c>
      <c r="L36">
        <f t="shared" si="48"/>
        <v>151761.38999999998</v>
      </c>
      <c r="M36">
        <f t="shared" si="48"/>
        <v>118403.12399999998</v>
      </c>
      <c r="N36" s="3">
        <f>SUM(I36:M36)</f>
        <v>622167.88399999996</v>
      </c>
    </row>
    <row r="37" spans="5:14" x14ac:dyDescent="0.25">
      <c r="H37" s="3" t="s">
        <v>12</v>
      </c>
      <c r="I37" s="1">
        <f>IFERROR((I35/I36),"--")</f>
        <v>2.340951482578133</v>
      </c>
      <c r="J37" s="1">
        <f t="shared" ref="J37" si="49">IFERROR((J35/J36),"--")</f>
        <v>2.4553998361958285</v>
      </c>
      <c r="K37" s="1">
        <f t="shared" ref="K37" si="50">IFERROR((K35/K36),"--")</f>
        <v>3.311907807087302</v>
      </c>
      <c r="L37" s="1">
        <f t="shared" ref="L37" si="51">IFERROR((L35/L36),"--")</f>
        <v>2.2866785559161809</v>
      </c>
      <c r="M37" s="1">
        <f t="shared" ref="M37" si="52">IFERROR((M35/M36),"--")</f>
        <v>2.0935108587713587</v>
      </c>
      <c r="N37" s="6">
        <f t="shared" ref="N37" si="53">+N35/N36</f>
        <v>2.4701451802999208</v>
      </c>
    </row>
    <row r="38" spans="5:14" x14ac:dyDescent="0.25">
      <c r="E38" s="1"/>
      <c r="F38" s="1"/>
    </row>
    <row r="39" spans="5:14" x14ac:dyDescent="0.25">
      <c r="E39" s="1"/>
      <c r="F39" s="1"/>
      <c r="H39" s="5" t="s">
        <v>28</v>
      </c>
      <c r="I39" s="7">
        <f>+$D$11*$P$1</f>
        <v>368909.51612903224</v>
      </c>
      <c r="J39" s="7">
        <f>+$D$11*$Q$1</f>
        <v>516473.32258064521</v>
      </c>
      <c r="K39" s="7">
        <f>+$D$11*$R$1</f>
        <v>516473.32258064521</v>
      </c>
      <c r="L39" s="7">
        <f>+$D$11*$S$1</f>
        <v>516473.32258064521</v>
      </c>
      <c r="M39" s="7">
        <f>+$D$11*$T$1</f>
        <v>368909.51612903224</v>
      </c>
      <c r="N39" s="8">
        <f>SUM(I39:M39)</f>
        <v>2287239</v>
      </c>
    </row>
    <row r="40" spans="5:14" x14ac:dyDescent="0.25">
      <c r="E40" s="1"/>
      <c r="F40" s="1"/>
      <c r="H40" s="3" t="s">
        <v>6</v>
      </c>
      <c r="I40">
        <f>+I$4</f>
        <v>105887.81</v>
      </c>
      <c r="J40">
        <f t="shared" ref="J40:M40" si="54">+J$4</f>
        <v>141333.20000000001</v>
      </c>
      <c r="K40">
        <f t="shared" si="54"/>
        <v>104782.36000000002</v>
      </c>
      <c r="L40">
        <f t="shared" si="54"/>
        <v>151761.38999999998</v>
      </c>
      <c r="M40">
        <f t="shared" si="54"/>
        <v>118403.12399999998</v>
      </c>
      <c r="N40" s="3">
        <f>SUM(I40:M40)</f>
        <v>622167.88399999996</v>
      </c>
    </row>
    <row r="41" spans="5:14" x14ac:dyDescent="0.25">
      <c r="H41" s="3" t="s">
        <v>12</v>
      </c>
      <c r="I41" s="1">
        <f>IFERROR((I39/I40),"--")</f>
        <v>3.4839658703776406</v>
      </c>
      <c r="J41" s="1">
        <f t="shared" ref="J41" si="55">IFERROR((J39/J40),"--")</f>
        <v>3.6542958241987384</v>
      </c>
      <c r="K41" s="1">
        <f t="shared" ref="K41" si="56">IFERROR((K39/K40),"--")</f>
        <v>4.9290102129847533</v>
      </c>
      <c r="L41" s="1">
        <f t="shared" ref="L41" si="57">IFERROR((L39/L40),"--")</f>
        <v>3.403193148011133</v>
      </c>
      <c r="M41" s="1">
        <f t="shared" ref="M41" si="58">IFERROR((M39/M40),"--")</f>
        <v>3.1157076238041852</v>
      </c>
      <c r="N41" s="6">
        <f t="shared" ref="N41" si="59">+N39/N40</f>
        <v>3.6762408649174185</v>
      </c>
    </row>
    <row r="42" spans="5:14" x14ac:dyDescent="0.25">
      <c r="E42" s="1"/>
      <c r="F42" s="1"/>
    </row>
    <row r="43" spans="5:14" x14ac:dyDescent="0.25">
      <c r="E43" s="1"/>
      <c r="F43" s="1"/>
      <c r="H43" s="5" t="s">
        <v>19</v>
      </c>
      <c r="I43" s="7">
        <f>+$D$12*$P$1</f>
        <v>0</v>
      </c>
      <c r="J43" s="7">
        <f>+$D$12*$Q$1</f>
        <v>0</v>
      </c>
      <c r="K43" s="7">
        <f>+$D$12*$R$1</f>
        <v>0</v>
      </c>
      <c r="L43" s="7">
        <f>+$D$12*$S$1</f>
        <v>0</v>
      </c>
      <c r="M43" s="7">
        <f>+$D$12*$T$1</f>
        <v>0</v>
      </c>
      <c r="N43" s="8">
        <f>SUM(I43:M43)</f>
        <v>0</v>
      </c>
    </row>
    <row r="44" spans="5:14" x14ac:dyDescent="0.25">
      <c r="E44" s="1"/>
      <c r="F44" s="1"/>
      <c r="H44" s="3" t="s">
        <v>6</v>
      </c>
      <c r="I44">
        <f>+I$4</f>
        <v>105887.81</v>
      </c>
      <c r="J44">
        <f t="shared" ref="J44:M44" si="60">+J$4</f>
        <v>141333.20000000001</v>
      </c>
      <c r="K44">
        <f t="shared" si="60"/>
        <v>104782.36000000002</v>
      </c>
      <c r="L44">
        <f t="shared" si="60"/>
        <v>151761.38999999998</v>
      </c>
      <c r="M44">
        <f t="shared" si="60"/>
        <v>118403.12399999998</v>
      </c>
      <c r="N44" s="3">
        <f>SUM(I44:M44)</f>
        <v>622167.88399999996</v>
      </c>
    </row>
    <row r="45" spans="5:14" x14ac:dyDescent="0.25">
      <c r="H45" s="3" t="s">
        <v>12</v>
      </c>
      <c r="I45" s="1">
        <f>IFERROR((I43/I44),"--")</f>
        <v>0</v>
      </c>
      <c r="J45" s="1">
        <f t="shared" ref="J45" si="61">IFERROR((J43/J44),"--")</f>
        <v>0</v>
      </c>
      <c r="K45" s="1">
        <f t="shared" ref="K45" si="62">IFERROR((K43/K44),"--")</f>
        <v>0</v>
      </c>
      <c r="L45" s="1">
        <f t="shared" ref="L45" si="63">IFERROR((L43/L44),"--")</f>
        <v>0</v>
      </c>
      <c r="M45" s="1">
        <f t="shared" ref="M45" si="64">IFERROR((M43/M44),"--")</f>
        <v>0</v>
      </c>
      <c r="N45" s="6">
        <f t="shared" ref="N45" si="65">+N43/N44</f>
        <v>0</v>
      </c>
    </row>
    <row r="46" spans="5:14" x14ac:dyDescent="0.25">
      <c r="E46" s="1"/>
      <c r="F46" s="1"/>
    </row>
    <row r="47" spans="5:14" x14ac:dyDescent="0.25">
      <c r="E47" s="1"/>
      <c r="F47" s="1"/>
    </row>
    <row r="48" spans="5:14" x14ac:dyDescent="0.25">
      <c r="E48" s="1"/>
      <c r="F48" s="1"/>
    </row>
  </sheetData>
  <mergeCells count="1">
    <mergeCell ref="T2:Z2"/>
  </mergeCells>
  <pageMargins left="0.7" right="0.7" top="0.75" bottom="0.75" header="0.3" footer="0.3"/>
  <pageSetup orientation="portrait" r:id="rId1"/>
  <ignoredErrors>
    <ignoredError sqref="O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BE04-029F-49AE-9EF1-0753AED04103}">
  <dimension ref="C1:R51"/>
  <sheetViews>
    <sheetView showGridLines="0" workbookViewId="0">
      <selection activeCell="Q36" sqref="Q36"/>
    </sheetView>
  </sheetViews>
  <sheetFormatPr defaultRowHeight="15" x14ac:dyDescent="0.25"/>
  <cols>
    <col min="3" max="3" width="30.5703125" bestFit="1" customWidth="1"/>
    <col min="4" max="4" width="10.5703125" bestFit="1" customWidth="1"/>
    <col min="5" max="7" width="9.5703125" bestFit="1" customWidth="1"/>
    <col min="8" max="9" width="9.5703125" customWidth="1"/>
    <col min="10" max="10" width="10.5703125" bestFit="1" customWidth="1"/>
    <col min="11" max="14" width="10.5703125" customWidth="1"/>
    <col min="15" max="17" width="10.5703125" bestFit="1" customWidth="1"/>
    <col min="18" max="18" width="9.5703125" bestFit="1" customWidth="1"/>
  </cols>
  <sheetData>
    <row r="1" spans="3:15" ht="15.75" thickBot="1" x14ac:dyDescent="0.3"/>
    <row r="2" spans="3:15" ht="19.5" thickBot="1" x14ac:dyDescent="0.35">
      <c r="C2" s="171" t="s">
        <v>69</v>
      </c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3"/>
    </row>
    <row r="3" spans="3:15" ht="15.75" thickBot="1" x14ac:dyDescent="0.3">
      <c r="C3" s="51" t="s">
        <v>29</v>
      </c>
      <c r="D3" s="37">
        <v>1125821.48</v>
      </c>
      <c r="E3" s="37">
        <v>441097.88</v>
      </c>
      <c r="F3" s="37">
        <v>633903.66</v>
      </c>
      <c r="G3" s="37">
        <v>467353.54800000007</v>
      </c>
      <c r="H3" s="37">
        <v>717751.42000000016</v>
      </c>
      <c r="I3" s="37">
        <v>685952.946</v>
      </c>
      <c r="J3" s="37">
        <v>1192044</v>
      </c>
      <c r="K3" s="37">
        <v>1017581.52</v>
      </c>
      <c r="L3" s="37">
        <v>957456.04700000002</v>
      </c>
      <c r="M3" s="37">
        <v>1647978.5</v>
      </c>
      <c r="N3" s="37">
        <v>1752237.7659999998</v>
      </c>
    </row>
    <row r="4" spans="3:15" ht="15.75" thickBot="1" x14ac:dyDescent="0.3">
      <c r="C4" s="52" t="s">
        <v>55</v>
      </c>
      <c r="D4" s="44">
        <v>45658</v>
      </c>
      <c r="E4" s="44">
        <v>45689</v>
      </c>
      <c r="F4" s="44">
        <v>45717</v>
      </c>
      <c r="G4" s="44">
        <v>45748</v>
      </c>
      <c r="H4" s="44">
        <v>45778</v>
      </c>
      <c r="I4" s="44">
        <v>45809</v>
      </c>
      <c r="J4" s="44">
        <v>45839</v>
      </c>
      <c r="K4" s="44">
        <v>45870</v>
      </c>
      <c r="L4" s="44">
        <v>45901</v>
      </c>
      <c r="M4" s="44">
        <v>45931</v>
      </c>
      <c r="N4" s="44">
        <v>45962</v>
      </c>
    </row>
    <row r="5" spans="3:15" x14ac:dyDescent="0.25">
      <c r="C5" s="17" t="s">
        <v>87</v>
      </c>
      <c r="D5" s="15">
        <v>86.02000000000001</v>
      </c>
      <c r="E5" s="15">
        <v>133.57</v>
      </c>
      <c r="F5" s="15">
        <v>53.22</v>
      </c>
      <c r="G5" s="15">
        <v>79.94</v>
      </c>
      <c r="H5" s="15">
        <v>79.319999999999993</v>
      </c>
      <c r="I5" s="15">
        <v>66.900000000000006</v>
      </c>
      <c r="J5" s="15">
        <v>77.67</v>
      </c>
      <c r="K5" s="15">
        <v>81.5</v>
      </c>
      <c r="L5" s="15">
        <v>90.31</v>
      </c>
      <c r="M5" s="15">
        <v>68.63</v>
      </c>
      <c r="N5" s="85">
        <v>94.47999999999999</v>
      </c>
      <c r="O5" s="1"/>
    </row>
    <row r="6" spans="3:15" x14ac:dyDescent="0.25">
      <c r="C6" s="18" t="s">
        <v>88</v>
      </c>
      <c r="D6" s="89">
        <v>1.3884270567709033E-2</v>
      </c>
      <c r="E6" s="89">
        <v>4.1035446204385477E-2</v>
      </c>
      <c r="F6" s="89">
        <v>1.2859083778905999E-2</v>
      </c>
      <c r="G6" s="89">
        <v>2.6642915045122919E-2</v>
      </c>
      <c r="H6" s="89">
        <v>1.7087483388082917E-2</v>
      </c>
      <c r="I6" s="89">
        <v>1.5038249257466265E-2</v>
      </c>
      <c r="J6" s="89">
        <v>1.11998576650359E-2</v>
      </c>
      <c r="K6" s="89">
        <v>1.3344217552671239E-2</v>
      </c>
      <c r="L6" s="89">
        <v>1.4038155740711036E-2</v>
      </c>
      <c r="M6" s="89">
        <v>6.3420245520955307E-3</v>
      </c>
      <c r="N6" s="90">
        <v>1.057471019320453E-2</v>
      </c>
      <c r="O6" s="1"/>
    </row>
    <row r="7" spans="3:15" x14ac:dyDescent="0.25">
      <c r="C7" s="18" t="s">
        <v>89</v>
      </c>
      <c r="D7" s="15">
        <v>130.80000000000001</v>
      </c>
      <c r="E7" s="15">
        <v>57.98</v>
      </c>
      <c r="F7" s="15">
        <v>58.2</v>
      </c>
      <c r="G7" s="15">
        <v>61.07</v>
      </c>
      <c r="H7" s="15">
        <v>76.72</v>
      </c>
      <c r="I7" s="15">
        <v>78.78</v>
      </c>
      <c r="J7" s="15">
        <v>92.67</v>
      </c>
      <c r="K7" s="15">
        <v>103.81</v>
      </c>
      <c r="L7" s="15">
        <v>118.4</v>
      </c>
      <c r="M7" s="15">
        <v>215.75</v>
      </c>
      <c r="N7" s="85">
        <v>234.35000000000002</v>
      </c>
      <c r="O7" s="1"/>
    </row>
    <row r="8" spans="3:15" x14ac:dyDescent="0.25">
      <c r="C8" s="18" t="s">
        <v>90</v>
      </c>
      <c r="D8" s="89">
        <v>2.1084317182032998E-2</v>
      </c>
      <c r="E8" s="89">
        <v>1.7817292371049627E-2</v>
      </c>
      <c r="F8" s="89">
        <v>1.4055007187350263E-2</v>
      </c>
      <c r="G8" s="89">
        <v>2.0374376820365397E-2</v>
      </c>
      <c r="H8" s="89">
        <v>1.6520340619787553E-2</v>
      </c>
      <c r="I8" s="89">
        <v>1.77530368982909E-2</v>
      </c>
      <c r="J8" s="89">
        <v>1.3400181513087877E-2</v>
      </c>
      <c r="K8" s="89">
        <v>1.6946680995222466E-2</v>
      </c>
      <c r="L8" s="89">
        <v>1.6851937126146549E-2</v>
      </c>
      <c r="M8" s="89">
        <v>1.9995192592002331E-2</v>
      </c>
      <c r="N8" s="90">
        <v>2.6249181973193786E-2</v>
      </c>
      <c r="O8" s="1"/>
    </row>
    <row r="9" spans="3:15" x14ac:dyDescent="0.25">
      <c r="C9" s="18" t="s">
        <v>31</v>
      </c>
      <c r="D9" s="93">
        <v>24521.38</v>
      </c>
      <c r="E9" s="93">
        <v>11513.2</v>
      </c>
      <c r="F9" s="93">
        <v>20850.54</v>
      </c>
      <c r="G9" s="93">
        <v>11725.07</v>
      </c>
      <c r="H9" s="93">
        <v>19229.55</v>
      </c>
      <c r="I9" s="93">
        <v>24242.39</v>
      </c>
      <c r="J9" s="93">
        <v>34714.1</v>
      </c>
      <c r="K9" s="93">
        <v>31321.84</v>
      </c>
      <c r="L9" s="93">
        <v>34712.6</v>
      </c>
      <c r="M9" s="93">
        <v>45826.5</v>
      </c>
      <c r="N9" s="94">
        <v>34793</v>
      </c>
      <c r="O9" s="1"/>
    </row>
    <row r="10" spans="3:15" ht="15.75" thickBot="1" x14ac:dyDescent="0.3">
      <c r="C10" s="18" t="s">
        <v>91</v>
      </c>
      <c r="D10" s="89">
        <f>+D9/D3</f>
        <v>2.1780877728500972E-2</v>
      </c>
      <c r="E10" s="89">
        <f>+E9/E3</f>
        <v>2.6101236306100589E-2</v>
      </c>
      <c r="F10" s="89">
        <f>+F9/F3</f>
        <v>3.2892285240946548E-2</v>
      </c>
      <c r="G10" s="89">
        <f t="shared" ref="G10:L10" si="0">+G9/G3</f>
        <v>2.508822293138983E-2</v>
      </c>
      <c r="H10" s="89">
        <f t="shared" si="0"/>
        <v>2.6791378552758552E-2</v>
      </c>
      <c r="I10" s="89">
        <f t="shared" si="0"/>
        <v>3.534118504973955E-2</v>
      </c>
      <c r="J10" s="89">
        <f t="shared" si="0"/>
        <v>2.9121492159685378E-2</v>
      </c>
      <c r="K10" s="89">
        <f t="shared" si="0"/>
        <v>3.0780669051458404E-2</v>
      </c>
      <c r="L10" s="89">
        <f t="shared" si="0"/>
        <v>3.6255032394191977E-2</v>
      </c>
      <c r="M10" s="89">
        <f>+M9/M3</f>
        <v>2.7807705015569076E-2</v>
      </c>
      <c r="N10" s="90">
        <f>+N9/N3</f>
        <v>1.9856323539598909E-2</v>
      </c>
      <c r="O10" s="1"/>
    </row>
    <row r="11" spans="3:15" x14ac:dyDescent="0.25">
      <c r="C11" s="42" t="s">
        <v>35</v>
      </c>
      <c r="D11" s="33">
        <v>3.1753266956675938</v>
      </c>
      <c r="E11" s="33">
        <v>4.9509940968204154</v>
      </c>
      <c r="F11" s="33">
        <v>4.6351207374319303</v>
      </c>
      <c r="G11" s="33">
        <v>6.2735909731448096</v>
      </c>
      <c r="H11" s="33">
        <v>4.7415858821986019</v>
      </c>
      <c r="I11" s="33">
        <v>4.2892854636125435</v>
      </c>
      <c r="J11" s="33">
        <v>3.1058194009749522</v>
      </c>
      <c r="K11" s="33">
        <v>3.8285954721347535</v>
      </c>
      <c r="L11" s="33">
        <v>4.5165049753975808</v>
      </c>
      <c r="M11" s="33">
        <v>3.0165056741071683</v>
      </c>
      <c r="N11" s="33">
        <v>2.7164338609512657</v>
      </c>
      <c r="O11" s="1"/>
    </row>
    <row r="12" spans="3:15" x14ac:dyDescent="0.25">
      <c r="C12" s="20" t="s">
        <v>1</v>
      </c>
      <c r="D12" s="15">
        <v>1.0777170462229944</v>
      </c>
      <c r="E12" s="15">
        <v>1.2128827279786518</v>
      </c>
      <c r="F12" s="15">
        <v>1.1281682771795323</v>
      </c>
      <c r="G12" s="15">
        <v>1.3587144095031025</v>
      </c>
      <c r="H12" s="15">
        <v>0.96466545478934729</v>
      </c>
      <c r="I12" s="15">
        <v>2.0731742728020879</v>
      </c>
      <c r="J12" s="15">
        <v>1.1929929991998105</v>
      </c>
      <c r="K12" s="15">
        <v>1.2476641674860605</v>
      </c>
      <c r="L12" s="15">
        <v>1.3604802059388945</v>
      </c>
      <c r="M12" s="15">
        <v>0.86977046833460592</v>
      </c>
      <c r="N12" s="15">
        <v>0.74339226403821279</v>
      </c>
      <c r="O12" s="1"/>
    </row>
    <row r="13" spans="3:15" x14ac:dyDescent="0.25">
      <c r="C13" s="20" t="s">
        <v>10</v>
      </c>
      <c r="D13" s="15">
        <v>0.55221632474093496</v>
      </c>
      <c r="E13" s="15">
        <v>1.3947561933419403</v>
      </c>
      <c r="F13" s="15">
        <v>1.468284628613755</v>
      </c>
      <c r="G13" s="15">
        <v>0.16578669474442503</v>
      </c>
      <c r="H13" s="15">
        <v>0.10088729605021191</v>
      </c>
      <c r="I13" s="15">
        <v>8.194293840090891E-2</v>
      </c>
      <c r="J13" s="15">
        <v>0.15388024177569765</v>
      </c>
      <c r="K13" s="15">
        <v>8.8318231250897716E-2</v>
      </c>
      <c r="L13" s="15">
        <v>4.6957769122533931E-2</v>
      </c>
      <c r="M13" s="15">
        <v>9.0851818849233448E-2</v>
      </c>
      <c r="N13" s="15">
        <v>7.0328355198800124E-2</v>
      </c>
      <c r="O13" s="1"/>
    </row>
    <row r="14" spans="3:15" x14ac:dyDescent="0.25">
      <c r="C14" s="20" t="s">
        <v>9</v>
      </c>
      <c r="D14" s="15">
        <v>1.776480583760047</v>
      </c>
      <c r="E14" s="15">
        <v>4.5341410391725301</v>
      </c>
      <c r="F14" s="15">
        <v>3.1550535612935251</v>
      </c>
      <c r="G14" s="15">
        <v>4.2794154630018975</v>
      </c>
      <c r="H14" s="15">
        <v>2.7864800323209384</v>
      </c>
      <c r="I14" s="15">
        <v>2.9156518849618003</v>
      </c>
      <c r="J14" s="15">
        <v>1.6777905902535832</v>
      </c>
      <c r="K14" s="15">
        <v>1.9654444982452117</v>
      </c>
      <c r="L14" s="15">
        <v>2.088868733208805</v>
      </c>
      <c r="M14" s="15">
        <v>1.3354375377469767</v>
      </c>
      <c r="N14" s="15">
        <v>1.1413976109906538</v>
      </c>
      <c r="O14" s="1"/>
    </row>
    <row r="15" spans="3:15" x14ac:dyDescent="0.25">
      <c r="C15" s="18" t="s">
        <v>15</v>
      </c>
      <c r="D15" s="15">
        <v>0.13825460143112567</v>
      </c>
      <c r="E15" s="15">
        <v>0.21718535577636419</v>
      </c>
      <c r="F15" s="15">
        <v>4.7799061453596907E-2</v>
      </c>
      <c r="G15" s="15">
        <v>0.15555675208011899</v>
      </c>
      <c r="H15" s="15">
        <v>0.28359400528946355</v>
      </c>
      <c r="I15" s="15">
        <v>9.6557643474279947E-2</v>
      </c>
      <c r="J15" s="15">
        <v>0.65016063162916604</v>
      </c>
      <c r="K15" s="15">
        <v>0.54331764987241515</v>
      </c>
      <c r="L15" s="15">
        <v>0.23883707321762834</v>
      </c>
      <c r="M15" s="15">
        <v>0.11824631677980604</v>
      </c>
      <c r="N15" s="15">
        <v>0.13422835905250088</v>
      </c>
      <c r="O15" s="1"/>
    </row>
    <row r="16" spans="3:15" x14ac:dyDescent="0.25">
      <c r="C16" s="18" t="s">
        <v>16</v>
      </c>
      <c r="D16" s="15">
        <v>5.0807344695537344E-3</v>
      </c>
      <c r="E16" s="15">
        <v>0.6945397243804482</v>
      </c>
      <c r="F16" s="15">
        <v>0.15388773745209169</v>
      </c>
      <c r="G16" s="15">
        <v>1.2367125540683814</v>
      </c>
      <c r="H16" s="15">
        <v>0.27969293324421424</v>
      </c>
      <c r="I16" s="15">
        <v>1.093369456860675E-3</v>
      </c>
      <c r="J16" s="15">
        <v>7.7933372917278945E-3</v>
      </c>
      <c r="K16" s="15">
        <v>5.0118834705252899E-2</v>
      </c>
      <c r="L16" s="15">
        <v>0.19903263507196794</v>
      </c>
      <c r="M16" s="15">
        <v>0</v>
      </c>
      <c r="N16" s="15">
        <v>0</v>
      </c>
      <c r="O16" s="1"/>
    </row>
    <row r="17" spans="3:18" x14ac:dyDescent="0.25">
      <c r="C17" s="18" t="s">
        <v>17</v>
      </c>
      <c r="D17" s="15">
        <v>0.34554767954862614</v>
      </c>
      <c r="E17" s="15">
        <v>5.5969436987545709E-2</v>
      </c>
      <c r="F17" s="15">
        <v>0.78341557453698873</v>
      </c>
      <c r="G17" s="15">
        <v>1.0698538657504745E-3</v>
      </c>
      <c r="H17" s="15">
        <v>9.0560601050430498E-2</v>
      </c>
      <c r="I17" s="15">
        <v>0.66852982070289124</v>
      </c>
      <c r="J17" s="15">
        <v>0.73345454548230515</v>
      </c>
      <c r="K17" s="15">
        <v>0.25806384534184545</v>
      </c>
      <c r="L17" s="15">
        <v>0.34037907120764155</v>
      </c>
      <c r="M17" s="15">
        <v>0.98844212197018433</v>
      </c>
      <c r="N17" s="15">
        <v>0.17825206490841039</v>
      </c>
      <c r="O17" s="1"/>
    </row>
    <row r="18" spans="3:18" x14ac:dyDescent="0.25">
      <c r="C18" s="18" t="s">
        <v>18</v>
      </c>
      <c r="D18" s="15">
        <v>0</v>
      </c>
      <c r="E18" s="15">
        <v>0</v>
      </c>
      <c r="F18" s="15">
        <v>3.7860642735522301E-4</v>
      </c>
      <c r="G18" s="15">
        <v>2.139707731500949E-3</v>
      </c>
      <c r="H18" s="15">
        <v>0</v>
      </c>
      <c r="I18" s="15">
        <v>0.90658550798030979</v>
      </c>
      <c r="J18" s="15">
        <v>0.51451881246482001</v>
      </c>
      <c r="K18" s="15">
        <v>0.13656203190482469</v>
      </c>
      <c r="L18" s="15">
        <v>0.14830968005782516</v>
      </c>
      <c r="M18" s="15">
        <v>0</v>
      </c>
      <c r="N18" s="15">
        <v>0.16844118174314024</v>
      </c>
      <c r="O18" s="1"/>
    </row>
    <row r="19" spans="3:18" x14ac:dyDescent="0.25">
      <c r="C19" s="18" t="s">
        <v>20</v>
      </c>
      <c r="D19" s="15">
        <v>0.3169543363127163</v>
      </c>
      <c r="E19" s="15">
        <v>0.60477733422794955</v>
      </c>
      <c r="F19" s="15">
        <v>0.89343544727285529</v>
      </c>
      <c r="G19" s="15">
        <v>0.53412240276819289</v>
      </c>
      <c r="H19" s="15">
        <v>1.5598032533324695</v>
      </c>
      <c r="I19" s="15">
        <v>1.2873827645898033</v>
      </c>
      <c r="J19" s="15">
        <v>2.1113560067386681</v>
      </c>
      <c r="K19" s="15">
        <v>0.69638646739575227</v>
      </c>
      <c r="L19" s="15">
        <v>2.3072014709412554</v>
      </c>
      <c r="M19" s="15">
        <v>1.6455975799200941</v>
      </c>
      <c r="N19" s="15">
        <v>0.63629777969298718</v>
      </c>
      <c r="O19" s="1"/>
    </row>
    <row r="20" spans="3:18" x14ac:dyDescent="0.25">
      <c r="C20" s="18" t="s">
        <v>23</v>
      </c>
      <c r="D20" s="15">
        <v>1.9611901524564979</v>
      </c>
      <c r="E20" s="15">
        <v>2.8603628745619907</v>
      </c>
      <c r="F20" s="15">
        <v>2.9071136771792734</v>
      </c>
      <c r="G20" s="15">
        <v>2.0786404728439121</v>
      </c>
      <c r="H20" s="15">
        <v>2.3220295405336846</v>
      </c>
      <c r="I20" s="15">
        <v>2.4147574693847877</v>
      </c>
      <c r="J20" s="15">
        <v>1.8647803515373451</v>
      </c>
      <c r="K20" s="15">
        <v>1.6298448501698419</v>
      </c>
      <c r="L20" s="15">
        <v>2.6507744224419736</v>
      </c>
      <c r="M20" s="15">
        <v>2.6838955914869862</v>
      </c>
      <c r="N20" s="15">
        <v>2.0690200099248406</v>
      </c>
    </row>
    <row r="21" spans="3:18" x14ac:dyDescent="0.25">
      <c r="C21" s="18" t="s">
        <v>19</v>
      </c>
      <c r="D21" s="15">
        <v>0.42567228331795554</v>
      </c>
      <c r="E21" s="15">
        <v>4.6934118114555439</v>
      </c>
      <c r="F21" s="15">
        <v>0.68269206711947361</v>
      </c>
      <c r="G21" s="15">
        <v>0.51938837532907733</v>
      </c>
      <c r="H21" s="15">
        <v>3.1673375163785806</v>
      </c>
      <c r="I21" s="15">
        <v>0.31755385157278704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</row>
    <row r="22" spans="3:18" x14ac:dyDescent="0.25">
      <c r="C22" s="27" t="s">
        <v>8</v>
      </c>
      <c r="D22" s="29">
        <f t="shared" ref="D22:E22" si="1">SUM(D11:D21)</f>
        <v>9.7744404379280461</v>
      </c>
      <c r="E22" s="29">
        <f t="shared" si="1"/>
        <v>21.219020594703377</v>
      </c>
      <c r="F22" s="29">
        <f t="shared" ref="F22" si="2">SUM(F11:F21)</f>
        <v>15.855349375960378</v>
      </c>
      <c r="G22" s="29">
        <f t="shared" ref="G22:H22" si="3">SUM(G11:G21)</f>
        <v>16.605137659081173</v>
      </c>
      <c r="H22" s="29">
        <f t="shared" si="3"/>
        <v>16.296636515187945</v>
      </c>
      <c r="I22" s="29">
        <v>15.052514986939064</v>
      </c>
      <c r="J22" s="29">
        <v>12.012546917348075</v>
      </c>
      <c r="K22" s="29">
        <v>10.444316048506856</v>
      </c>
      <c r="L22" s="29">
        <v>13.897346036606102</v>
      </c>
      <c r="M22" s="29">
        <v>10.748747109195055</v>
      </c>
      <c r="N22" s="29">
        <v>7.8577914865008118</v>
      </c>
    </row>
    <row r="23" spans="3:18" x14ac:dyDescent="0.25">
      <c r="C23" s="26" t="s">
        <v>93</v>
      </c>
      <c r="D23" s="15">
        <v>21.05</v>
      </c>
      <c r="E23" s="15">
        <v>21.97</v>
      </c>
      <c r="F23" s="15">
        <v>21.38</v>
      </c>
      <c r="G23" s="15">
        <v>22.75875308001299</v>
      </c>
      <c r="H23" s="15">
        <v>21.675175508534696</v>
      </c>
      <c r="I23" s="15">
        <v>22.164820617302226</v>
      </c>
      <c r="J23" s="15">
        <v>22.186921564129637</v>
      </c>
      <c r="K23" s="15">
        <v>21.915433369898462</v>
      </c>
      <c r="L23" s="15">
        <v>23.105035546347121</v>
      </c>
      <c r="M23" s="15">
        <v>21.552881548405058</v>
      </c>
      <c r="N23" s="15">
        <v>20.340132310559962</v>
      </c>
    </row>
    <row r="24" spans="3:18" x14ac:dyDescent="0.25">
      <c r="C24" s="26" t="s">
        <v>94</v>
      </c>
      <c r="D24" s="15">
        <v>3.92</v>
      </c>
      <c r="E24" s="15">
        <v>4.3600000000000003</v>
      </c>
      <c r="F24" s="15">
        <v>5.51</v>
      </c>
      <c r="G24" s="15">
        <v>4.5381959954650863</v>
      </c>
      <c r="H24" s="15">
        <v>3.9048286383048887</v>
      </c>
      <c r="I24" s="15">
        <v>5.0536289408982302</v>
      </c>
      <c r="J24" s="15">
        <v>3.5200077622646107</v>
      </c>
      <c r="K24" s="15">
        <v>3.6321189480720908</v>
      </c>
      <c r="L24" s="15">
        <v>4.2073237853810319</v>
      </c>
      <c r="M24" s="15">
        <v>3.1144623834440259</v>
      </c>
      <c r="N24" s="15">
        <v>2.5006024210985989</v>
      </c>
    </row>
    <row r="25" spans="3:18" ht="16.5" thickBot="1" x14ac:dyDescent="0.3">
      <c r="C25" s="23" t="s">
        <v>33</v>
      </c>
      <c r="D25" s="25">
        <f>+D24+D23+D22</f>
        <v>34.744440437928048</v>
      </c>
      <c r="E25" s="25">
        <f>+E24+E23+E22</f>
        <v>47.549020594703379</v>
      </c>
      <c r="F25" s="25">
        <f>+F24+F23+F22</f>
        <v>42.74534937596038</v>
      </c>
      <c r="G25" s="25">
        <f>+G24+G23+G22</f>
        <v>43.902086734559248</v>
      </c>
      <c r="H25" s="25">
        <f>+H24+H23+H22</f>
        <v>41.876640662027526</v>
      </c>
      <c r="I25" s="25">
        <v>42.27096454513952</v>
      </c>
      <c r="J25" s="25">
        <v>37.719476243742321</v>
      </c>
      <c r="K25" s="25">
        <v>35.991868366477405</v>
      </c>
      <c r="L25" s="25">
        <v>41.209705368334255</v>
      </c>
      <c r="M25" s="25">
        <v>35.41609104104414</v>
      </c>
      <c r="N25" s="25">
        <v>30.698526218159373</v>
      </c>
    </row>
    <row r="28" spans="3:18" ht="18.75" x14ac:dyDescent="0.3">
      <c r="C28" s="175" t="s">
        <v>152</v>
      </c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</row>
    <row r="29" spans="3:18" x14ac:dyDescent="0.25">
      <c r="C29" s="143" t="s">
        <v>29</v>
      </c>
      <c r="D29" s="144">
        <v>1125821.48</v>
      </c>
      <c r="E29" s="144">
        <v>441097.88</v>
      </c>
      <c r="F29" s="144">
        <v>633903.66</v>
      </c>
      <c r="G29" s="144">
        <v>467353.54800000007</v>
      </c>
      <c r="H29" s="144">
        <v>717751.42000000016</v>
      </c>
      <c r="I29" s="144">
        <v>685952.946</v>
      </c>
      <c r="J29" s="144">
        <v>1192044</v>
      </c>
      <c r="K29" s="144">
        <v>1017581.52</v>
      </c>
      <c r="L29" s="144">
        <v>957456.04700000002</v>
      </c>
      <c r="M29" s="144">
        <v>1647978.5</v>
      </c>
      <c r="N29" s="144">
        <v>1752237.7659999998</v>
      </c>
      <c r="O29" s="144">
        <v>1579786.86</v>
      </c>
      <c r="P29" s="144">
        <v>1233957.33</v>
      </c>
      <c r="Q29" s="144">
        <v>901038.37399999995</v>
      </c>
      <c r="R29" s="144">
        <v>901038.37399999995</v>
      </c>
    </row>
    <row r="30" spans="3:18" x14ac:dyDescent="0.25">
      <c r="C30" s="149" t="s">
        <v>55</v>
      </c>
      <c r="D30" s="150">
        <v>45658</v>
      </c>
      <c r="E30" s="150">
        <v>45689</v>
      </c>
      <c r="F30" s="150">
        <v>45717</v>
      </c>
      <c r="G30" s="150">
        <v>45748</v>
      </c>
      <c r="H30" s="150">
        <v>45778</v>
      </c>
      <c r="I30" s="150">
        <v>45809</v>
      </c>
      <c r="J30" s="150">
        <v>45839</v>
      </c>
      <c r="K30" s="150">
        <v>45870</v>
      </c>
      <c r="L30" s="150">
        <v>45901</v>
      </c>
      <c r="M30" s="150">
        <v>45931</v>
      </c>
      <c r="N30" s="150">
        <v>45962</v>
      </c>
      <c r="O30" s="150">
        <v>45992</v>
      </c>
      <c r="P30" s="150">
        <v>46023</v>
      </c>
      <c r="Q30" s="150">
        <v>46054</v>
      </c>
      <c r="R30" s="150">
        <v>46082</v>
      </c>
    </row>
    <row r="31" spans="3:18" x14ac:dyDescent="0.25">
      <c r="C31" s="149" t="s">
        <v>87</v>
      </c>
      <c r="D31" s="151">
        <v>86.02000000000001</v>
      </c>
      <c r="E31" s="151">
        <v>133.57</v>
      </c>
      <c r="F31" s="151">
        <v>53.22</v>
      </c>
      <c r="G31" s="151">
        <v>79.94</v>
      </c>
      <c r="H31" s="151">
        <v>79.319999999999993</v>
      </c>
      <c r="I31" s="151">
        <v>66.900000000000006</v>
      </c>
      <c r="J31" s="151">
        <v>77.67</v>
      </c>
      <c r="K31" s="151">
        <v>81.5</v>
      </c>
      <c r="L31" s="151">
        <v>90.31</v>
      </c>
      <c r="M31" s="151">
        <v>68.63</v>
      </c>
      <c r="N31" s="151">
        <v>94.47999999999999</v>
      </c>
      <c r="O31" s="151">
        <f>22.82+31.42</f>
        <v>54.24</v>
      </c>
      <c r="P31" s="151">
        <f>34.9+51.42</f>
        <v>86.32</v>
      </c>
      <c r="Q31" s="151">
        <v>57.35</v>
      </c>
      <c r="R31" s="151">
        <v>24.35</v>
      </c>
    </row>
    <row r="32" spans="3:18" x14ac:dyDescent="0.25">
      <c r="C32" s="149" t="s">
        <v>88</v>
      </c>
      <c r="D32" s="159">
        <v>1.3884270567709033E-2</v>
      </c>
      <c r="E32" s="159">
        <v>4.1035446204385477E-2</v>
      </c>
      <c r="F32" s="159">
        <v>1.2859083778905999E-2</v>
      </c>
      <c r="G32" s="159">
        <v>2.6642915045122919E-2</v>
      </c>
      <c r="H32" s="159">
        <v>1.7087483388082917E-2</v>
      </c>
      <c r="I32" s="159">
        <v>1.5038249257466265E-2</v>
      </c>
      <c r="J32" s="159">
        <v>1.11998576650359E-2</v>
      </c>
      <c r="K32" s="159">
        <v>1.3344217552671239E-2</v>
      </c>
      <c r="L32" s="159">
        <v>1.4038155740711036E-2</v>
      </c>
      <c r="M32" s="159">
        <v>6.3420245520955307E-3</v>
      </c>
      <c r="N32" s="159">
        <v>1.057471019320453E-2</v>
      </c>
      <c r="O32" s="159">
        <f>+O31/9648.21</f>
        <v>5.621768182906467E-3</v>
      </c>
      <c r="P32" s="159">
        <f>+P31/7187.5</f>
        <v>1.2009739130434781E-2</v>
      </c>
      <c r="Q32" s="159">
        <v>1.7299999999999999E-2</v>
      </c>
      <c r="R32" s="159">
        <v>1.37E-2</v>
      </c>
    </row>
    <row r="33" spans="3:18" x14ac:dyDescent="0.25">
      <c r="C33" s="149" t="s">
        <v>89</v>
      </c>
      <c r="D33" s="151">
        <v>130.80000000000001</v>
      </c>
      <c r="E33" s="151">
        <v>57.98</v>
      </c>
      <c r="F33" s="151">
        <v>58.2</v>
      </c>
      <c r="G33" s="151">
        <v>61.07</v>
      </c>
      <c r="H33" s="151">
        <v>76.72</v>
      </c>
      <c r="I33" s="151">
        <v>78.78</v>
      </c>
      <c r="J33" s="151">
        <v>92.67</v>
      </c>
      <c r="K33" s="151">
        <v>103.81</v>
      </c>
      <c r="L33" s="151">
        <v>118.4</v>
      </c>
      <c r="M33" s="151">
        <v>215.75</v>
      </c>
      <c r="N33" s="151">
        <v>234.35000000000002</v>
      </c>
      <c r="O33" s="151">
        <f>98.47+84.83</f>
        <v>183.3</v>
      </c>
      <c r="P33" s="151">
        <f>38.33+70.03</f>
        <v>108.36</v>
      </c>
      <c r="Q33" s="151">
        <v>68.48</v>
      </c>
      <c r="R33" s="151">
        <v>27.68</v>
      </c>
    </row>
    <row r="34" spans="3:18" x14ac:dyDescent="0.25">
      <c r="C34" s="149" t="s">
        <v>90</v>
      </c>
      <c r="D34" s="159">
        <v>2.1084317182032998E-2</v>
      </c>
      <c r="E34" s="159">
        <v>1.7817292371049627E-2</v>
      </c>
      <c r="F34" s="159">
        <v>1.4055007187350263E-2</v>
      </c>
      <c r="G34" s="159">
        <v>2.0374376820365397E-2</v>
      </c>
      <c r="H34" s="159">
        <v>1.6520340619787553E-2</v>
      </c>
      <c r="I34" s="159">
        <v>1.77530368982909E-2</v>
      </c>
      <c r="J34" s="159">
        <v>1.3400181513087877E-2</v>
      </c>
      <c r="K34" s="159">
        <v>1.6946680995222466E-2</v>
      </c>
      <c r="L34" s="159">
        <v>1.6851937126146549E-2</v>
      </c>
      <c r="M34" s="159">
        <v>1.9995192592002331E-2</v>
      </c>
      <c r="N34" s="159">
        <v>2.6249181973193786E-2</v>
      </c>
      <c r="O34" s="159">
        <f>+O33/9648.21</f>
        <v>1.8998342697764667E-2</v>
      </c>
      <c r="P34" s="159">
        <f>+P33/7187.5</f>
        <v>1.5076173913043478E-2</v>
      </c>
      <c r="Q34" s="159">
        <v>2.07E-2</v>
      </c>
      <c r="R34" s="159">
        <v>1.5599999999999999E-2</v>
      </c>
    </row>
    <row r="35" spans="3:18" x14ac:dyDescent="0.25">
      <c r="C35" s="149" t="s">
        <v>31</v>
      </c>
      <c r="D35" s="160">
        <v>24521.38</v>
      </c>
      <c r="E35" s="160">
        <v>11513.2</v>
      </c>
      <c r="F35" s="160">
        <v>20850.54</v>
      </c>
      <c r="G35" s="160">
        <v>11725.07</v>
      </c>
      <c r="H35" s="160">
        <v>19229.55</v>
      </c>
      <c r="I35" s="160">
        <v>24242.39</v>
      </c>
      <c r="J35" s="160">
        <v>34714.1</v>
      </c>
      <c r="K35" s="160">
        <v>31321.84</v>
      </c>
      <c r="L35" s="160">
        <v>34712.6</v>
      </c>
      <c r="M35" s="160">
        <v>45826.5</v>
      </c>
      <c r="N35" s="160">
        <v>34793</v>
      </c>
      <c r="O35" s="160">
        <v>39894.979999999996</v>
      </c>
      <c r="P35" s="160">
        <v>31023.45</v>
      </c>
      <c r="Q35" s="160">
        <v>17530</v>
      </c>
      <c r="R35" s="160">
        <v>9852</v>
      </c>
    </row>
    <row r="36" spans="3:18" x14ac:dyDescent="0.25">
      <c r="C36" s="149" t="s">
        <v>91</v>
      </c>
      <c r="D36" s="159">
        <f t="shared" ref="D36:P36" si="4">+D35/D29</f>
        <v>2.1780877728500972E-2</v>
      </c>
      <c r="E36" s="159">
        <f t="shared" si="4"/>
        <v>2.6101236306100589E-2</v>
      </c>
      <c r="F36" s="159">
        <f t="shared" si="4"/>
        <v>3.2892285240946548E-2</v>
      </c>
      <c r="G36" s="159">
        <f t="shared" si="4"/>
        <v>2.508822293138983E-2</v>
      </c>
      <c r="H36" s="159">
        <f t="shared" si="4"/>
        <v>2.6791378552758552E-2</v>
      </c>
      <c r="I36" s="159">
        <f t="shared" si="4"/>
        <v>3.534118504973955E-2</v>
      </c>
      <c r="J36" s="159">
        <f t="shared" si="4"/>
        <v>2.9121492159685378E-2</v>
      </c>
      <c r="K36" s="159">
        <f t="shared" si="4"/>
        <v>3.0780669051458404E-2</v>
      </c>
      <c r="L36" s="159">
        <f t="shared" si="4"/>
        <v>3.6255032394191977E-2</v>
      </c>
      <c r="M36" s="159">
        <f t="shared" si="4"/>
        <v>2.7807705015569076E-2</v>
      </c>
      <c r="N36" s="159">
        <f t="shared" si="4"/>
        <v>1.9856323539598909E-2</v>
      </c>
      <c r="O36" s="159">
        <f t="shared" si="4"/>
        <v>2.5253393992655436E-2</v>
      </c>
      <c r="P36" s="159">
        <f t="shared" si="4"/>
        <v>2.5141428512767131E-2</v>
      </c>
      <c r="Q36" s="159">
        <v>2.2599999999999999E-2</v>
      </c>
      <c r="R36" s="159">
        <v>2.5100000000000001E-2</v>
      </c>
    </row>
    <row r="37" spans="3:18" x14ac:dyDescent="0.25">
      <c r="C37" s="149" t="s">
        <v>35</v>
      </c>
      <c r="D37" s="151">
        <v>3.1753266956675938</v>
      </c>
      <c r="E37" s="151">
        <v>4.9509940968204154</v>
      </c>
      <c r="F37" s="151">
        <v>4.6351207374319303</v>
      </c>
      <c r="G37" s="151">
        <v>6.2735909731448096</v>
      </c>
      <c r="H37" s="151">
        <v>4.7415858821986019</v>
      </c>
      <c r="I37" s="151">
        <v>4.2892854636125435</v>
      </c>
      <c r="J37" s="151">
        <v>3.1058194009749522</v>
      </c>
      <c r="K37" s="151">
        <v>3.8285954721347535</v>
      </c>
      <c r="L37" s="151">
        <v>4.5165049753975808</v>
      </c>
      <c r="M37" s="151">
        <v>3.0165056741071683</v>
      </c>
      <c r="N37" s="151">
        <v>2.7164338609512657</v>
      </c>
      <c r="O37" s="151">
        <v>2.9388426486848989</v>
      </c>
      <c r="P37" s="151">
        <v>3.5349828506630767</v>
      </c>
      <c r="Q37" s="151">
        <v>3.9372141102616349</v>
      </c>
      <c r="R37" s="151">
        <v>3.9372141102616349</v>
      </c>
    </row>
    <row r="38" spans="3:18" x14ac:dyDescent="0.25">
      <c r="C38" s="152" t="s">
        <v>1</v>
      </c>
      <c r="D38" s="151">
        <v>1.0777170462229944</v>
      </c>
      <c r="E38" s="151">
        <v>1.2128827279786518</v>
      </c>
      <c r="F38" s="151">
        <v>1.1281682771795323</v>
      </c>
      <c r="G38" s="151">
        <v>1.3587144095031025</v>
      </c>
      <c r="H38" s="151">
        <v>0.96466545478934729</v>
      </c>
      <c r="I38" s="151">
        <v>2.0731742728020879</v>
      </c>
      <c r="J38" s="151">
        <v>1.1929929991998105</v>
      </c>
      <c r="K38" s="151">
        <v>1.2476641674860605</v>
      </c>
      <c r="L38" s="151">
        <v>1.3604802059388945</v>
      </c>
      <c r="M38" s="151">
        <v>0.86977046833460592</v>
      </c>
      <c r="N38" s="151">
        <v>0.74339226403821279</v>
      </c>
      <c r="O38" s="151">
        <v>0.82454160936621534</v>
      </c>
      <c r="P38" s="151">
        <v>1.1770253028117266</v>
      </c>
      <c r="Q38" s="151">
        <v>1.6119169193120293</v>
      </c>
      <c r="R38" s="151">
        <v>1.6119169193120293</v>
      </c>
    </row>
    <row r="39" spans="3:18" x14ac:dyDescent="0.25">
      <c r="C39" s="152" t="s">
        <v>10</v>
      </c>
      <c r="D39" s="151">
        <v>0.55221632474093496</v>
      </c>
      <c r="E39" s="151">
        <v>1.3947561933419403</v>
      </c>
      <c r="F39" s="151">
        <v>1.468284628613755</v>
      </c>
      <c r="G39" s="151">
        <v>0.16578669474442503</v>
      </c>
      <c r="H39" s="151">
        <v>0.10088729605021191</v>
      </c>
      <c r="I39" s="151">
        <v>8.194293840090891E-2</v>
      </c>
      <c r="J39" s="151">
        <v>0.15388024177569765</v>
      </c>
      <c r="K39" s="151">
        <v>8.8318231250897716E-2</v>
      </c>
      <c r="L39" s="151">
        <v>4.6957769122533931E-2</v>
      </c>
      <c r="M39" s="151">
        <v>9.0851818849233448E-2</v>
      </c>
      <c r="N39" s="151">
        <v>7.0328355198800124E-2</v>
      </c>
      <c r="O39" s="151">
        <v>8.0514658793908428E-2</v>
      </c>
      <c r="P39" s="151">
        <v>0.11454772103019153</v>
      </c>
      <c r="Q39" s="151">
        <v>0.13241611394455438</v>
      </c>
      <c r="R39" s="151">
        <v>0.13241611394455438</v>
      </c>
    </row>
    <row r="40" spans="3:18" x14ac:dyDescent="0.25">
      <c r="C40" s="152" t="s">
        <v>9</v>
      </c>
      <c r="D40" s="151">
        <v>1.776480583760047</v>
      </c>
      <c r="E40" s="151">
        <v>4.5341410391725301</v>
      </c>
      <c r="F40" s="151">
        <v>3.1550535612935251</v>
      </c>
      <c r="G40" s="151">
        <v>4.2794154630018975</v>
      </c>
      <c r="H40" s="151">
        <v>2.7864800323209384</v>
      </c>
      <c r="I40" s="151">
        <v>2.9156518849618003</v>
      </c>
      <c r="J40" s="151">
        <v>1.6777905902535832</v>
      </c>
      <c r="K40" s="151">
        <v>1.9654444982452117</v>
      </c>
      <c r="L40" s="151">
        <v>2.088868733208805</v>
      </c>
      <c r="M40" s="151">
        <v>1.3354375377469767</v>
      </c>
      <c r="N40" s="151">
        <v>1.1413976109906538</v>
      </c>
      <c r="O40" s="151">
        <v>1.2659935657396213</v>
      </c>
      <c r="P40" s="151">
        <v>1.8152977785706739</v>
      </c>
      <c r="Q40" s="151">
        <v>2.4860206453315827</v>
      </c>
      <c r="R40" s="151">
        <v>2.4860206453315827</v>
      </c>
    </row>
    <row r="41" spans="3:18" x14ac:dyDescent="0.25">
      <c r="C41" s="149" t="s">
        <v>15</v>
      </c>
      <c r="D41" s="151">
        <v>0.13825460143112567</v>
      </c>
      <c r="E41" s="151">
        <v>0.21718535577636419</v>
      </c>
      <c r="F41" s="151">
        <v>4.7799061453596907E-2</v>
      </c>
      <c r="G41" s="151">
        <v>0.15555675208011899</v>
      </c>
      <c r="H41" s="151">
        <v>0.28359400528946355</v>
      </c>
      <c r="I41" s="151">
        <v>9.6557643474279947E-2</v>
      </c>
      <c r="J41" s="151">
        <v>0.65016063162916604</v>
      </c>
      <c r="K41" s="151">
        <v>0.54331764987241515</v>
      </c>
      <c r="L41" s="151">
        <v>0.23883707321762834</v>
      </c>
      <c r="M41" s="151">
        <v>0.11824631677980604</v>
      </c>
      <c r="N41" s="151">
        <v>0.13422835905250088</v>
      </c>
      <c r="O41" s="151">
        <v>3.3964075381662559E-2</v>
      </c>
      <c r="P41" s="151">
        <v>1.3776813498081006E-2</v>
      </c>
      <c r="Q41" s="151">
        <v>6.233030869781802E-2</v>
      </c>
      <c r="R41" s="151">
        <v>6.233030869781802E-2</v>
      </c>
    </row>
    <row r="42" spans="3:18" x14ac:dyDescent="0.25">
      <c r="C42" s="149" t="s">
        <v>16</v>
      </c>
      <c r="D42" s="151">
        <v>5.0807344695537344E-3</v>
      </c>
      <c r="E42" s="151">
        <v>0.6945397243804482</v>
      </c>
      <c r="F42" s="151">
        <v>0.15388773745209169</v>
      </c>
      <c r="G42" s="151">
        <v>1.2367125540683814</v>
      </c>
      <c r="H42" s="151">
        <v>0.27969293324421424</v>
      </c>
      <c r="I42" s="151">
        <v>1.093369456860675E-3</v>
      </c>
      <c r="J42" s="151">
        <v>7.7933372917278945E-3</v>
      </c>
      <c r="K42" s="151">
        <v>5.0118834705252899E-2</v>
      </c>
      <c r="L42" s="151">
        <v>0.19903263507196794</v>
      </c>
      <c r="M42" s="151">
        <v>0</v>
      </c>
      <c r="N42" s="151">
        <v>0</v>
      </c>
      <c r="O42" s="151">
        <v>3.0250916253348251E-2</v>
      </c>
      <c r="P42" s="151">
        <v>0.67399737396105897</v>
      </c>
      <c r="Q42" s="151">
        <v>0.98261963701892241</v>
      </c>
      <c r="R42" s="151">
        <v>0.98261963701892241</v>
      </c>
    </row>
    <row r="43" spans="3:18" x14ac:dyDescent="0.25">
      <c r="C43" s="149" t="s">
        <v>17</v>
      </c>
      <c r="D43" s="151">
        <v>0.34554767954862614</v>
      </c>
      <c r="E43" s="151">
        <v>5.5969436987545709E-2</v>
      </c>
      <c r="F43" s="151">
        <v>0.78341557453698873</v>
      </c>
      <c r="G43" s="151">
        <v>1.0698538657504745E-3</v>
      </c>
      <c r="H43" s="151">
        <v>9.0560601050430498E-2</v>
      </c>
      <c r="I43" s="151">
        <v>0.66852982070289124</v>
      </c>
      <c r="J43" s="151">
        <v>0.73345454548230515</v>
      </c>
      <c r="K43" s="151">
        <v>0.25806384534184545</v>
      </c>
      <c r="L43" s="151">
        <v>0.34037907120764155</v>
      </c>
      <c r="M43" s="151">
        <v>0.98844212197018433</v>
      </c>
      <c r="N43" s="151">
        <v>0.17825206490841039</v>
      </c>
      <c r="O43" s="151">
        <v>1.3457498943876516</v>
      </c>
      <c r="P43" s="151">
        <v>0.68121156182928932</v>
      </c>
      <c r="Q43" s="151">
        <v>1.6673640583480855</v>
      </c>
      <c r="R43" s="151">
        <v>1.6673640583480855</v>
      </c>
    </row>
    <row r="44" spans="3:18" x14ac:dyDescent="0.25">
      <c r="C44" s="149" t="s">
        <v>18</v>
      </c>
      <c r="D44" s="151">
        <v>0</v>
      </c>
      <c r="E44" s="151">
        <v>0</v>
      </c>
      <c r="F44" s="151">
        <v>3.7860642735522301E-4</v>
      </c>
      <c r="G44" s="151">
        <v>2.139707731500949E-3</v>
      </c>
      <c r="H44" s="151">
        <v>0</v>
      </c>
      <c r="I44" s="151">
        <v>0.90658550798030979</v>
      </c>
      <c r="J44" s="151">
        <v>0.51451881246482001</v>
      </c>
      <c r="K44" s="151">
        <v>0.13656203190482469</v>
      </c>
      <c r="L44" s="151">
        <v>0.14830968005782516</v>
      </c>
      <c r="M44" s="151">
        <v>0</v>
      </c>
      <c r="N44" s="151">
        <v>0.16844118174314024</v>
      </c>
      <c r="O44" s="151">
        <v>0.98</v>
      </c>
      <c r="P44" s="151">
        <v>0</v>
      </c>
      <c r="Q44" s="151">
        <v>0.23957914138737893</v>
      </c>
      <c r="R44" s="151">
        <v>0.23957914138737893</v>
      </c>
    </row>
    <row r="45" spans="3:18" x14ac:dyDescent="0.25">
      <c r="C45" s="149" t="s">
        <v>20</v>
      </c>
      <c r="D45" s="151">
        <v>0.3169543363127163</v>
      </c>
      <c r="E45" s="151">
        <v>0.60477733422794955</v>
      </c>
      <c r="F45" s="151">
        <v>0.89343544727285529</v>
      </c>
      <c r="G45" s="151">
        <v>0.53412240276819289</v>
      </c>
      <c r="H45" s="151">
        <v>1.5598032533324695</v>
      </c>
      <c r="I45" s="151">
        <v>1.2873827645898033</v>
      </c>
      <c r="J45" s="151">
        <v>2.1113560067386681</v>
      </c>
      <c r="K45" s="151">
        <v>0.69638646739575227</v>
      </c>
      <c r="L45" s="151">
        <v>2.3072014709412554</v>
      </c>
      <c r="M45" s="151">
        <v>1.6455975799200941</v>
      </c>
      <c r="N45" s="151">
        <v>0.63629777969298718</v>
      </c>
      <c r="O45" s="151">
        <v>0.85431208106136536</v>
      </c>
      <c r="P45" s="151">
        <v>0.73922572346970861</v>
      </c>
      <c r="Q45" s="151">
        <v>1.418522270395556</v>
      </c>
      <c r="R45" s="151">
        <v>1.418522270395556</v>
      </c>
    </row>
    <row r="46" spans="3:18" x14ac:dyDescent="0.25">
      <c r="C46" s="149" t="s">
        <v>153</v>
      </c>
      <c r="D46" s="151">
        <v>1.9611901524564979</v>
      </c>
      <c r="E46" s="151">
        <v>2.8603628745619907</v>
      </c>
      <c r="F46" s="151">
        <v>2.9071136771792734</v>
      </c>
      <c r="G46" s="151">
        <v>2.0786404728439121</v>
      </c>
      <c r="H46" s="151">
        <v>2.3220295405336846</v>
      </c>
      <c r="I46" s="151">
        <v>2.4147574693847877</v>
      </c>
      <c r="J46" s="151">
        <v>1.8647803515373451</v>
      </c>
      <c r="K46" s="151">
        <v>1.6298448501698419</v>
      </c>
      <c r="L46" s="151">
        <v>2.6507744224419736</v>
      </c>
      <c r="M46" s="151">
        <v>2.6838955914869862</v>
      </c>
      <c r="N46" s="151">
        <v>2.0690200099248406</v>
      </c>
      <c r="O46" s="151">
        <v>2.7</v>
      </c>
      <c r="P46" s="151">
        <v>0.90621285907836047</v>
      </c>
      <c r="Q46" s="151">
        <v>2.5238458933825609</v>
      </c>
      <c r="R46" s="151">
        <v>2.5238458933825609</v>
      </c>
    </row>
    <row r="47" spans="3:18" x14ac:dyDescent="0.25">
      <c r="C47" s="149" t="s">
        <v>19</v>
      </c>
      <c r="D47" s="151">
        <v>0.42567228331795554</v>
      </c>
      <c r="E47" s="151">
        <v>4.6934118114555439</v>
      </c>
      <c r="F47" s="151">
        <v>0.68269206711947361</v>
      </c>
      <c r="G47" s="151">
        <v>0.51938837532907733</v>
      </c>
      <c r="H47" s="151">
        <v>3.1673375163785806</v>
      </c>
      <c r="I47" s="151">
        <v>0.31755385157278704</v>
      </c>
      <c r="J47" s="151">
        <v>0</v>
      </c>
      <c r="K47" s="151">
        <v>0</v>
      </c>
      <c r="L47" s="151">
        <v>0</v>
      </c>
      <c r="M47" s="151">
        <v>0</v>
      </c>
      <c r="N47" s="151">
        <v>0</v>
      </c>
      <c r="O47" s="151">
        <v>0</v>
      </c>
      <c r="P47" s="151">
        <v>0</v>
      </c>
      <c r="Q47" s="151">
        <v>0</v>
      </c>
      <c r="R47" s="151">
        <v>0</v>
      </c>
    </row>
    <row r="48" spans="3:18" x14ac:dyDescent="0.25">
      <c r="C48" s="152" t="s">
        <v>8</v>
      </c>
      <c r="D48" s="153">
        <f t="shared" ref="D48:N48" si="5">SUM(D37:D47)</f>
        <v>9.7744404379280461</v>
      </c>
      <c r="E48" s="153">
        <f t="shared" si="5"/>
        <v>21.219020594703377</v>
      </c>
      <c r="F48" s="153">
        <f t="shared" si="5"/>
        <v>15.855349375960378</v>
      </c>
      <c r="G48" s="153">
        <f t="shared" si="5"/>
        <v>16.605137659081173</v>
      </c>
      <c r="H48" s="153">
        <f t="shared" si="5"/>
        <v>16.296636515187945</v>
      </c>
      <c r="I48" s="153">
        <f t="shared" si="5"/>
        <v>15.052514986939064</v>
      </c>
      <c r="J48" s="153">
        <f t="shared" si="5"/>
        <v>12.012546917348075</v>
      </c>
      <c r="K48" s="153">
        <f t="shared" si="5"/>
        <v>10.444316048506856</v>
      </c>
      <c r="L48" s="153">
        <f t="shared" si="5"/>
        <v>13.897346036606102</v>
      </c>
      <c r="M48" s="153">
        <f t="shared" si="5"/>
        <v>10.748747109195055</v>
      </c>
      <c r="N48" s="153">
        <f t="shared" si="5"/>
        <v>7.8577914865008118</v>
      </c>
      <c r="O48" s="153">
        <f>SUM(O37:O47)</f>
        <v>11.054169449668674</v>
      </c>
      <c r="P48" s="153">
        <f>SUM(P37:P47)</f>
        <v>9.6562779849121689</v>
      </c>
      <c r="Q48" s="153">
        <f>SUM(Q37:Q47)</f>
        <v>15.061829098080123</v>
      </c>
      <c r="R48" s="153">
        <f>SUM(R37:R47)</f>
        <v>15.061829098080123</v>
      </c>
    </row>
    <row r="49" spans="3:18" x14ac:dyDescent="0.25">
      <c r="C49" s="149" t="s">
        <v>93</v>
      </c>
      <c r="D49" s="151">
        <v>21.05</v>
      </c>
      <c r="E49" s="151">
        <v>21.97</v>
      </c>
      <c r="F49" s="151">
        <v>21.38</v>
      </c>
      <c r="G49" s="151">
        <v>22.75875308001299</v>
      </c>
      <c r="H49" s="151">
        <v>21.675175508534696</v>
      </c>
      <c r="I49" s="151">
        <v>22.164820617302226</v>
      </c>
      <c r="J49" s="151">
        <v>22.186921564129637</v>
      </c>
      <c r="K49" s="151">
        <v>21.915433369898462</v>
      </c>
      <c r="L49" s="151">
        <v>23.105035546347121</v>
      </c>
      <c r="M49" s="151">
        <v>21.552881548405058</v>
      </c>
      <c r="N49" s="151">
        <v>20.340132310559962</v>
      </c>
      <c r="O49" s="151">
        <v>20.666496745010271</v>
      </c>
      <c r="P49" s="151">
        <v>21.026611106560708</v>
      </c>
      <c r="Q49" s="151">
        <v>20.780309187364306</v>
      </c>
      <c r="R49" s="151">
        <v>20.780309187364306</v>
      </c>
    </row>
    <row r="50" spans="3:18" x14ac:dyDescent="0.25">
      <c r="C50" s="149" t="s">
        <v>94</v>
      </c>
      <c r="D50" s="151">
        <v>3.92</v>
      </c>
      <c r="E50" s="151">
        <v>4.3600000000000003</v>
      </c>
      <c r="F50" s="151">
        <v>5.51</v>
      </c>
      <c r="G50" s="151">
        <v>4.5381959954650863</v>
      </c>
      <c r="H50" s="151">
        <v>3.9048286383048887</v>
      </c>
      <c r="I50" s="151">
        <v>5.0536289408982302</v>
      </c>
      <c r="J50" s="151">
        <v>3.5200077622646107</v>
      </c>
      <c r="K50" s="151">
        <v>3.6321189480720908</v>
      </c>
      <c r="L50" s="151">
        <v>4.2073237853810319</v>
      </c>
      <c r="M50" s="151">
        <v>3.1144623834440259</v>
      </c>
      <c r="N50" s="151">
        <v>2.5006024210985989</v>
      </c>
      <c r="O50" s="151">
        <v>3.0160128445428391</v>
      </c>
      <c r="P50" s="151">
        <v>3.6706485628640011</v>
      </c>
      <c r="Q50" s="151">
        <v>3.6242429781353573</v>
      </c>
      <c r="R50" s="151">
        <v>3.6242429781353573</v>
      </c>
    </row>
    <row r="51" spans="3:18" ht="15.75" x14ac:dyDescent="0.25">
      <c r="C51" s="154" t="s">
        <v>33</v>
      </c>
      <c r="D51" s="155">
        <f t="shared" ref="D51:P51" si="6">+D50+D49+D48</f>
        <v>34.744440437928048</v>
      </c>
      <c r="E51" s="155">
        <f t="shared" si="6"/>
        <v>47.549020594703379</v>
      </c>
      <c r="F51" s="155">
        <f t="shared" si="6"/>
        <v>42.74534937596038</v>
      </c>
      <c r="G51" s="155">
        <f t="shared" si="6"/>
        <v>43.902086734559248</v>
      </c>
      <c r="H51" s="155">
        <f t="shared" si="6"/>
        <v>41.876640662027526</v>
      </c>
      <c r="I51" s="155">
        <f t="shared" si="6"/>
        <v>42.27096454513952</v>
      </c>
      <c r="J51" s="155">
        <f t="shared" si="6"/>
        <v>37.719476243742321</v>
      </c>
      <c r="K51" s="155">
        <f t="shared" si="6"/>
        <v>35.991868366477405</v>
      </c>
      <c r="L51" s="155">
        <f t="shared" si="6"/>
        <v>41.209705368334255</v>
      </c>
      <c r="M51" s="155">
        <f t="shared" si="6"/>
        <v>35.41609104104414</v>
      </c>
      <c r="N51" s="155">
        <f t="shared" si="6"/>
        <v>30.698526218159373</v>
      </c>
      <c r="O51" s="155">
        <f t="shared" si="6"/>
        <v>34.736679039221784</v>
      </c>
      <c r="P51" s="155">
        <f t="shared" si="6"/>
        <v>34.353537654336876</v>
      </c>
      <c r="Q51" s="155">
        <f t="shared" ref="Q51:R51" si="7">+Q50+Q49+Q48</f>
        <v>39.466381263579784</v>
      </c>
      <c r="R51" s="155">
        <f t="shared" si="7"/>
        <v>39.466381263579784</v>
      </c>
    </row>
  </sheetData>
  <mergeCells count="2">
    <mergeCell ref="C28:P28"/>
    <mergeCell ref="C2:N2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C1B3-86F4-4C62-AE6B-1533A6EC6C39}">
  <dimension ref="A1:AA48"/>
  <sheetViews>
    <sheetView zoomScaleNormal="100" workbookViewId="0">
      <selection activeCell="E21" sqref="E21"/>
    </sheetView>
  </sheetViews>
  <sheetFormatPr defaultRowHeight="15" x14ac:dyDescent="0.25"/>
  <cols>
    <col min="1" max="1" width="10.42578125" customWidth="1"/>
    <col min="2" max="2" width="30.5703125" bestFit="1" customWidth="1"/>
    <col min="3" max="3" width="16.85546875" style="61" bestFit="1" customWidth="1"/>
    <col min="7" max="7" width="10.5703125" bestFit="1" customWidth="1"/>
    <col min="8" max="8" width="19.5703125" bestFit="1" customWidth="1"/>
    <col min="9" max="13" width="10.5703125" bestFit="1" customWidth="1"/>
    <col min="14" max="14" width="9.140625" style="2"/>
    <col min="17" max="17" width="9.7109375" bestFit="1" customWidth="1"/>
    <col min="18" max="18" width="12.7109375" bestFit="1" customWidth="1"/>
  </cols>
  <sheetData>
    <row r="1" spans="1:27" x14ac:dyDescent="0.25">
      <c r="A1" s="9"/>
      <c r="B1" s="41" t="s">
        <v>55</v>
      </c>
      <c r="C1" s="58" t="s">
        <v>4</v>
      </c>
      <c r="D1" s="3" t="s">
        <v>3</v>
      </c>
      <c r="E1" s="3" t="s">
        <v>24</v>
      </c>
      <c r="F1" s="3" t="s">
        <v>38</v>
      </c>
      <c r="H1" s="3" t="s">
        <v>7</v>
      </c>
      <c r="I1" s="4">
        <v>10</v>
      </c>
      <c r="J1" s="4">
        <f>+I1+1</f>
        <v>11</v>
      </c>
      <c r="K1" s="4">
        <f t="shared" ref="K1:M1" si="0">+J1+1</f>
        <v>12</v>
      </c>
      <c r="L1" s="4">
        <f t="shared" si="0"/>
        <v>13</v>
      </c>
      <c r="M1" s="4">
        <f t="shared" si="0"/>
        <v>14</v>
      </c>
      <c r="N1" s="3" t="s">
        <v>8</v>
      </c>
      <c r="O1" s="32">
        <f>SUM(P1:U1)</f>
        <v>31</v>
      </c>
      <c r="P1">
        <v>5</v>
      </c>
      <c r="Q1">
        <v>7</v>
      </c>
      <c r="R1">
        <v>7</v>
      </c>
      <c r="S1">
        <v>7</v>
      </c>
      <c r="T1">
        <v>5</v>
      </c>
      <c r="U1">
        <v>0</v>
      </c>
    </row>
    <row r="2" spans="1:27" x14ac:dyDescent="0.25">
      <c r="A2" s="64"/>
      <c r="B2" s="5" t="s">
        <v>25</v>
      </c>
      <c r="C2" s="163">
        <f>(1036200)+309618</f>
        <v>1345818</v>
      </c>
      <c r="D2" s="35">
        <f>+C2/$O$1</f>
        <v>43413.483870967742</v>
      </c>
      <c r="E2" s="73">
        <f>+N5</f>
        <v>7.1703027486378961</v>
      </c>
      <c r="F2" s="73">
        <f t="shared" ref="F2:F12" si="1">+C2/$N$4</f>
        <v>7.1703027486378961</v>
      </c>
      <c r="P2" s="34" t="s">
        <v>34</v>
      </c>
      <c r="Q2" s="34" t="s">
        <v>42</v>
      </c>
      <c r="R2" s="34" t="s">
        <v>31</v>
      </c>
      <c r="U2" s="174" t="s">
        <v>49</v>
      </c>
      <c r="V2" s="174"/>
      <c r="W2" s="174"/>
      <c r="X2" s="174"/>
      <c r="Y2" s="174"/>
      <c r="Z2" s="174"/>
      <c r="AA2" s="174"/>
    </row>
    <row r="3" spans="1:27" x14ac:dyDescent="0.25">
      <c r="A3" s="9"/>
      <c r="B3" s="10" t="s">
        <v>26</v>
      </c>
      <c r="C3" s="163">
        <f>+(314000)</f>
        <v>314000</v>
      </c>
      <c r="D3" s="35">
        <f>+C3/$O$1</f>
        <v>10129.032258064517</v>
      </c>
      <c r="E3" s="73">
        <f>+N9</f>
        <v>1.6729417076248794</v>
      </c>
      <c r="F3" s="73">
        <f t="shared" si="1"/>
        <v>1.6729417076248789</v>
      </c>
      <c r="H3" s="3" t="s">
        <v>25</v>
      </c>
      <c r="I3" s="7">
        <f>+$D$2*$P$1</f>
        <v>217067.41935483873</v>
      </c>
      <c r="J3" s="7">
        <f>+$D$2*$Q$1</f>
        <v>303894.38709677418</v>
      </c>
      <c r="K3" s="7">
        <f>+$D$2*$R$1</f>
        <v>303894.38709677418</v>
      </c>
      <c r="L3" s="7">
        <f>+$D$2*$S$1</f>
        <v>303894.38709677418</v>
      </c>
      <c r="M3" s="7">
        <f>+$D$2*$T$1</f>
        <v>217067.41935483873</v>
      </c>
      <c r="N3" s="3">
        <f>SUM(I3:M3)</f>
        <v>1345818</v>
      </c>
      <c r="O3" s="39" t="s">
        <v>43</v>
      </c>
      <c r="P3" s="34">
        <f>+AA3</f>
        <v>69068.929999999993</v>
      </c>
      <c r="Q3" s="34">
        <v>40347.119999999995</v>
      </c>
      <c r="R3" s="34">
        <v>2210.0000000000005</v>
      </c>
      <c r="S3" s="34"/>
      <c r="U3" s="40" t="s">
        <v>43</v>
      </c>
      <c r="V3" s="14">
        <v>12624.420000000002</v>
      </c>
      <c r="W3" s="14">
        <v>18864.650000000001</v>
      </c>
      <c r="X3" s="14">
        <v>14992.609999999999</v>
      </c>
      <c r="Y3" s="14">
        <v>13856.32</v>
      </c>
      <c r="Z3" s="14">
        <v>8730.9299999999985</v>
      </c>
      <c r="AA3" s="39">
        <f>SUM(V3:Z3)</f>
        <v>69068.929999999993</v>
      </c>
    </row>
    <row r="4" spans="1:27" x14ac:dyDescent="0.25">
      <c r="A4" s="9"/>
      <c r="B4" s="10" t="s">
        <v>27</v>
      </c>
      <c r="C4" s="72">
        <f>23220+5524+3378+3000+22900</f>
        <v>58022</v>
      </c>
      <c r="D4" s="35">
        <f t="shared" ref="D4:D12" si="2">+C4/$O$1</f>
        <v>1871.6774193548388</v>
      </c>
      <c r="E4" s="73">
        <f>+N13</f>
        <v>0.30913192280194501</v>
      </c>
      <c r="F4" s="73">
        <f t="shared" si="1"/>
        <v>0.30913192280194501</v>
      </c>
      <c r="G4" s="1"/>
      <c r="H4" s="3" t="s">
        <v>5</v>
      </c>
      <c r="I4">
        <f>+V5</f>
        <v>36686.75</v>
      </c>
      <c r="J4">
        <f>+W5</f>
        <v>54235.600000000006</v>
      </c>
      <c r="K4">
        <f>+X5</f>
        <v>45632.180000000008</v>
      </c>
      <c r="L4">
        <f>+Y5</f>
        <v>31617.770000000004</v>
      </c>
      <c r="M4">
        <f>+Z5</f>
        <v>19521.029999999992</v>
      </c>
      <c r="N4" s="3">
        <f>SUM(I4:M4)</f>
        <v>187693.33000000005</v>
      </c>
      <c r="O4" s="39" t="s">
        <v>44</v>
      </c>
      <c r="P4" s="34">
        <f>+AA4</f>
        <v>118624.40000000001</v>
      </c>
      <c r="Q4" s="34">
        <v>67361.88</v>
      </c>
      <c r="R4" s="34">
        <v>6117.9180634169697</v>
      </c>
      <c r="S4" s="34"/>
      <c r="U4" s="40" t="s">
        <v>44</v>
      </c>
      <c r="V4" s="14">
        <v>24062.33</v>
      </c>
      <c r="W4" s="14">
        <v>35370.950000000004</v>
      </c>
      <c r="X4" s="14">
        <v>30639.570000000007</v>
      </c>
      <c r="Y4" s="14">
        <v>17761.450000000004</v>
      </c>
      <c r="Z4" s="14">
        <v>10790.099999999995</v>
      </c>
      <c r="AA4" s="39">
        <f>SUM(V4:Z4)</f>
        <v>118624.40000000001</v>
      </c>
    </row>
    <row r="5" spans="1:27" x14ac:dyDescent="0.25">
      <c r="A5" s="9"/>
      <c r="B5" s="10" t="s">
        <v>9</v>
      </c>
      <c r="C5" s="165">
        <f>400000+48000</f>
        <v>448000</v>
      </c>
      <c r="D5" s="35">
        <f t="shared" si="2"/>
        <v>14451.612903225807</v>
      </c>
      <c r="E5" s="73">
        <f>+N17</f>
        <v>2.3868722452737128</v>
      </c>
      <c r="F5" s="73">
        <f t="shared" si="1"/>
        <v>2.3868722452737128</v>
      </c>
      <c r="G5" s="1"/>
      <c r="H5" s="3" t="s">
        <v>14</v>
      </c>
      <c r="I5" s="1">
        <f>IFERROR((I3/I4),"0")</f>
        <v>5.9167797462255098</v>
      </c>
      <c r="J5" s="1">
        <f t="shared" ref="J5:M5" si="3">IFERROR((J3/J4),"0")</f>
        <v>5.6032271625422077</v>
      </c>
      <c r="K5" s="1">
        <f t="shared" si="3"/>
        <v>6.6596508669271142</v>
      </c>
      <c r="L5" s="1">
        <f t="shared" si="3"/>
        <v>9.6115060327396318</v>
      </c>
      <c r="M5" s="1">
        <f t="shared" si="3"/>
        <v>11.119670394176886</v>
      </c>
      <c r="N5" s="6">
        <f>+N3/N4</f>
        <v>7.1703027486378961</v>
      </c>
      <c r="O5" s="39" t="s">
        <v>58</v>
      </c>
      <c r="R5" s="34"/>
      <c r="U5" s="40" t="s">
        <v>8</v>
      </c>
      <c r="V5" s="14">
        <f>+V4+V3</f>
        <v>36686.75</v>
      </c>
      <c r="W5" s="14">
        <f t="shared" ref="W5:Z5" si="4">+W4+W3</f>
        <v>54235.600000000006</v>
      </c>
      <c r="X5" s="14">
        <f t="shared" si="4"/>
        <v>45632.180000000008</v>
      </c>
      <c r="Y5" s="14">
        <f t="shared" si="4"/>
        <v>31617.770000000004</v>
      </c>
      <c r="Z5" s="14">
        <f t="shared" si="4"/>
        <v>19521.029999999992</v>
      </c>
      <c r="AA5" s="39">
        <f>SUM(V5:Z5)</f>
        <v>187693.33000000005</v>
      </c>
    </row>
    <row r="6" spans="1:27" x14ac:dyDescent="0.25">
      <c r="A6" s="9"/>
      <c r="B6" s="5" t="s">
        <v>15</v>
      </c>
      <c r="C6" s="165"/>
      <c r="D6" s="35">
        <f t="shared" si="2"/>
        <v>0</v>
      </c>
      <c r="E6" s="73">
        <f>+N21</f>
        <v>0</v>
      </c>
      <c r="F6" s="73">
        <f t="shared" si="1"/>
        <v>0</v>
      </c>
      <c r="O6" s="39" t="s">
        <v>8</v>
      </c>
      <c r="P6" s="70">
        <f>SUM(P3:P5)</f>
        <v>187693.33000000002</v>
      </c>
      <c r="Q6" s="70">
        <f>SUM(Q3:Q5)</f>
        <v>107709</v>
      </c>
      <c r="R6" s="70">
        <f>SUM(R3:R5)</f>
        <v>8327.9180634169697</v>
      </c>
      <c r="U6" s="30"/>
    </row>
    <row r="7" spans="1:27" x14ac:dyDescent="0.25">
      <c r="A7" s="9"/>
      <c r="B7" s="5" t="s">
        <v>16</v>
      </c>
      <c r="C7" s="165"/>
      <c r="D7" s="35">
        <f t="shared" si="2"/>
        <v>0</v>
      </c>
      <c r="E7" s="73">
        <f>+N25</f>
        <v>0</v>
      </c>
      <c r="F7" s="73">
        <f t="shared" si="1"/>
        <v>0</v>
      </c>
      <c r="H7" s="3" t="s">
        <v>26</v>
      </c>
      <c r="I7" s="7">
        <f>+$D$3*$P$1</f>
        <v>50645.161290322583</v>
      </c>
      <c r="J7" s="7">
        <f>+$D$3*$Q$1</f>
        <v>70903.225806451621</v>
      </c>
      <c r="K7" s="7">
        <f>+$D$3*$R$1</f>
        <v>70903.225806451621</v>
      </c>
      <c r="L7" s="7">
        <f>+$D$3*$S$1</f>
        <v>70903.225806451621</v>
      </c>
      <c r="M7" s="7">
        <f>+$D$3*$T$1</f>
        <v>50645.161290322583</v>
      </c>
      <c r="N7" s="3">
        <f>SUM(I7:M7)</f>
        <v>314000.00000000006</v>
      </c>
      <c r="O7" s="14"/>
      <c r="P7" s="67"/>
      <c r="Q7" s="66">
        <f>+Q6*44</f>
        <v>4739196</v>
      </c>
      <c r="R7" s="66">
        <f>+(R6*400)-(R6*227)</f>
        <v>1440729.8249711359</v>
      </c>
      <c r="W7" s="34"/>
    </row>
    <row r="8" spans="1:27" x14ac:dyDescent="0.25">
      <c r="A8" s="9"/>
      <c r="B8" s="5" t="s">
        <v>17</v>
      </c>
      <c r="C8" s="166">
        <f>37000+124835</f>
        <v>161835</v>
      </c>
      <c r="D8" s="35">
        <f t="shared" si="2"/>
        <v>5220.4838709677415</v>
      </c>
      <c r="E8" s="73">
        <f>+N29</f>
        <v>0.8622309594059625</v>
      </c>
      <c r="F8" s="73">
        <f t="shared" si="1"/>
        <v>0.86223095940596273</v>
      </c>
      <c r="H8" s="3" t="s">
        <v>6</v>
      </c>
      <c r="I8">
        <f>+I$4</f>
        <v>36686.75</v>
      </c>
      <c r="J8">
        <f t="shared" ref="J8:M8" si="5">+J$4</f>
        <v>54235.600000000006</v>
      </c>
      <c r="K8">
        <f t="shared" si="5"/>
        <v>45632.180000000008</v>
      </c>
      <c r="L8">
        <f t="shared" si="5"/>
        <v>31617.770000000004</v>
      </c>
      <c r="M8">
        <f t="shared" si="5"/>
        <v>19521.029999999992</v>
      </c>
      <c r="N8" s="3">
        <f>SUM(I8:M8)</f>
        <v>187693.33000000005</v>
      </c>
      <c r="P8" s="35"/>
      <c r="Q8" s="36">
        <f>+Q7/P6</f>
        <v>25.249677226143302</v>
      </c>
      <c r="R8" s="36">
        <f>+R7/P6</f>
        <v>7.675977750360846</v>
      </c>
    </row>
    <row r="9" spans="1:27" x14ac:dyDescent="0.25">
      <c r="A9" s="9"/>
      <c r="B9" s="5" t="s">
        <v>18</v>
      </c>
      <c r="C9" s="72">
        <f>6300+135550</f>
        <v>141850</v>
      </c>
      <c r="D9" s="35">
        <f t="shared" si="2"/>
        <v>4575.8064516129034</v>
      </c>
      <c r="E9" s="73">
        <f>+N33</f>
        <v>0.75575408033945568</v>
      </c>
      <c r="F9" s="73">
        <f t="shared" si="1"/>
        <v>0.75575408033945568</v>
      </c>
      <c r="H9" s="3" t="s">
        <v>13</v>
      </c>
      <c r="I9" s="1">
        <f>IFERROR((I7/I8),"--")</f>
        <v>1.3804755474475821</v>
      </c>
      <c r="J9" s="1">
        <f t="shared" ref="J9:M9" si="6">IFERROR((J7/J8),"--")</f>
        <v>1.3073189161077154</v>
      </c>
      <c r="K9" s="1">
        <f t="shared" si="6"/>
        <v>1.5537987842450571</v>
      </c>
      <c r="L9" s="1">
        <f t="shared" si="6"/>
        <v>2.2425119104368085</v>
      </c>
      <c r="M9" s="1">
        <f t="shared" si="6"/>
        <v>2.5943898088534572</v>
      </c>
      <c r="N9" s="6">
        <f t="shared" ref="N9" si="7">+N7/N8</f>
        <v>1.6729417076248794</v>
      </c>
      <c r="S9" t="s">
        <v>31</v>
      </c>
      <c r="T9" t="s">
        <v>4</v>
      </c>
      <c r="U9" t="s">
        <v>61</v>
      </c>
    </row>
    <row r="10" spans="1:27" x14ac:dyDescent="0.25">
      <c r="A10" s="9"/>
      <c r="B10" s="5" t="s">
        <v>20</v>
      </c>
      <c r="C10" s="72">
        <v>219006</v>
      </c>
      <c r="D10" s="35">
        <f t="shared" si="2"/>
        <v>7064.7096774193551</v>
      </c>
      <c r="E10" s="73">
        <f>+N37</f>
        <v>1.1668288905098543</v>
      </c>
      <c r="F10" s="73">
        <f t="shared" si="1"/>
        <v>1.1668288905098543</v>
      </c>
      <c r="R10" t="s">
        <v>77</v>
      </c>
      <c r="S10">
        <v>2707</v>
      </c>
      <c r="T10">
        <f>U10*S10</f>
        <v>406050</v>
      </c>
      <c r="U10">
        <v>150</v>
      </c>
      <c r="W10" t="s">
        <v>75</v>
      </c>
      <c r="X10" s="55"/>
      <c r="Y10" s="55"/>
    </row>
    <row r="11" spans="1:27" x14ac:dyDescent="0.25">
      <c r="A11" s="9"/>
      <c r="B11" s="5" t="s">
        <v>28</v>
      </c>
      <c r="C11" s="163">
        <v>106080</v>
      </c>
      <c r="D11" s="35">
        <f t="shared" si="2"/>
        <v>3421.9354838709678</v>
      </c>
      <c r="E11" s="73">
        <f>+N41</f>
        <v>0.56517724950588266</v>
      </c>
      <c r="F11" s="73">
        <f t="shared" si="1"/>
        <v>0.56517724950588266</v>
      </c>
      <c r="H11" s="3" t="s">
        <v>11</v>
      </c>
      <c r="I11" s="7">
        <f>+$D$4*$P$1</f>
        <v>9358.3870967741932</v>
      </c>
      <c r="J11" s="7">
        <f>+$D$4*$Q$1</f>
        <v>13101.741935483871</v>
      </c>
      <c r="K11" s="7">
        <f>+$D$4*$R$1</f>
        <v>13101.741935483871</v>
      </c>
      <c r="L11" s="7">
        <f>+$D$4*$S$1</f>
        <v>13101.741935483871</v>
      </c>
      <c r="M11" s="7">
        <f>+$D$4*$T$1</f>
        <v>9358.3870967741932</v>
      </c>
      <c r="N11" s="3">
        <f>SUM(I11:M11)</f>
        <v>58022</v>
      </c>
      <c r="R11" t="s">
        <v>43</v>
      </c>
      <c r="S11">
        <v>7027</v>
      </c>
      <c r="T11">
        <f>U11*S11</f>
        <v>1595058.73</v>
      </c>
      <c r="U11">
        <v>226.99</v>
      </c>
    </row>
    <row r="12" spans="1:27" x14ac:dyDescent="0.25">
      <c r="A12" s="9"/>
      <c r="B12" s="5" t="s">
        <v>19</v>
      </c>
      <c r="C12" s="72"/>
      <c r="D12" s="35">
        <f t="shared" si="2"/>
        <v>0</v>
      </c>
      <c r="E12" s="73">
        <f>+N45</f>
        <v>0</v>
      </c>
      <c r="F12" s="73">
        <f t="shared" si="1"/>
        <v>0</v>
      </c>
      <c r="H12" s="3" t="s">
        <v>6</v>
      </c>
      <c r="I12">
        <f>+I$4</f>
        <v>36686.75</v>
      </c>
      <c r="J12">
        <f t="shared" ref="J12:M12" si="8">+J$4</f>
        <v>54235.600000000006</v>
      </c>
      <c r="K12">
        <f t="shared" si="8"/>
        <v>45632.180000000008</v>
      </c>
      <c r="L12">
        <f t="shared" si="8"/>
        <v>31617.770000000004</v>
      </c>
      <c r="M12">
        <f t="shared" si="8"/>
        <v>19521.029999999992</v>
      </c>
      <c r="N12" s="3">
        <f>SUM(I12:M12)</f>
        <v>187693.33000000005</v>
      </c>
      <c r="R12" t="s">
        <v>59</v>
      </c>
      <c r="S12">
        <v>3817</v>
      </c>
      <c r="T12">
        <f>U12*S12</f>
        <v>1221440</v>
      </c>
      <c r="U12">
        <v>320</v>
      </c>
      <c r="W12" t="s">
        <v>84</v>
      </c>
    </row>
    <row r="13" spans="1:27" x14ac:dyDescent="0.25">
      <c r="A13" s="9"/>
      <c r="B13" s="5" t="s">
        <v>8</v>
      </c>
      <c r="C13" s="74">
        <f>SUM(C2:C12)</f>
        <v>2794611</v>
      </c>
      <c r="D13" s="34">
        <f>SUM(D2:D12)</f>
        <v>90148.741935483878</v>
      </c>
      <c r="E13" s="75">
        <f>SUM(E2:E12)</f>
        <v>14.88923980409959</v>
      </c>
      <c r="F13" s="75">
        <f>SUM(F2:F12)</f>
        <v>14.88923980409959</v>
      </c>
      <c r="H13" s="3" t="s">
        <v>12</v>
      </c>
      <c r="I13" s="1">
        <f>IFERROR((I11/I12),"--")</f>
        <v>0.2550890197898204</v>
      </c>
      <c r="J13" s="1">
        <f t="shared" ref="J13:M13" si="9">IFERROR((J11/J12),"--")</f>
        <v>0.24157088582930528</v>
      </c>
      <c r="K13" s="1">
        <f t="shared" si="9"/>
        <v>0.28711628362887481</v>
      </c>
      <c r="L13" s="1">
        <f t="shared" si="9"/>
        <v>0.41437906390880413</v>
      </c>
      <c r="M13" s="1">
        <f t="shared" si="9"/>
        <v>0.47940027225890219</v>
      </c>
      <c r="N13" s="6">
        <f t="shared" ref="N13" si="10">+N11/N12</f>
        <v>0.30913192280194501</v>
      </c>
      <c r="R13" t="s">
        <v>60</v>
      </c>
      <c r="S13">
        <v>2409</v>
      </c>
      <c r="T13">
        <f>U13*S13</f>
        <v>361350</v>
      </c>
      <c r="U13">
        <v>150</v>
      </c>
    </row>
    <row r="14" spans="1:27" x14ac:dyDescent="0.25">
      <c r="A14" s="9"/>
      <c r="B14" s="5" t="s">
        <v>30</v>
      </c>
      <c r="C14" s="72"/>
      <c r="D14" s="35"/>
      <c r="E14" s="73"/>
      <c r="F14" s="73">
        <f>+Q8</f>
        <v>25.249677226143302</v>
      </c>
      <c r="R14" s="2"/>
      <c r="S14" s="2"/>
      <c r="T14" s="2"/>
      <c r="U14" s="56"/>
    </row>
    <row r="15" spans="1:27" x14ac:dyDescent="0.25">
      <c r="A15" s="9"/>
      <c r="B15" s="5" t="s">
        <v>31</v>
      </c>
      <c r="C15" s="72"/>
      <c r="D15" s="35"/>
      <c r="E15" s="73"/>
      <c r="F15" s="73">
        <f>+R8</f>
        <v>7.675977750360846</v>
      </c>
      <c r="H15" s="3" t="s">
        <v>9</v>
      </c>
      <c r="I15" s="7">
        <f>+$D$5*$P$1</f>
        <v>72258.06451612903</v>
      </c>
      <c r="J15" s="7">
        <f>+$D$5*$Q$1</f>
        <v>101161.29032258065</v>
      </c>
      <c r="K15" s="7">
        <f>+$D$5*$R$1</f>
        <v>101161.29032258065</v>
      </c>
      <c r="L15" s="7">
        <f>+$D$5*$S$1</f>
        <v>101161.29032258065</v>
      </c>
      <c r="M15" s="7">
        <f>+$D$5*$T$1</f>
        <v>72258.06451612903</v>
      </c>
      <c r="N15" s="3">
        <f>SUM(I15:M15)</f>
        <v>448000.00000000006</v>
      </c>
      <c r="R15" s="2" t="s">
        <v>66</v>
      </c>
      <c r="S15" s="2">
        <f>SUM(S10:S14)</f>
        <v>15960</v>
      </c>
      <c r="T15" s="2">
        <f>SUM(T10:T14)</f>
        <v>3583898.73</v>
      </c>
      <c r="U15" s="56">
        <f>+T15/S15</f>
        <v>224.55505827067668</v>
      </c>
    </row>
    <row r="16" spans="1:27" x14ac:dyDescent="0.25">
      <c r="B16" s="5" t="s">
        <v>33</v>
      </c>
      <c r="C16" s="72"/>
      <c r="D16" s="35"/>
      <c r="E16" s="73"/>
      <c r="F16" s="75">
        <f>+F13+F14+F15</f>
        <v>47.814894780603737</v>
      </c>
      <c r="H16" s="3" t="s">
        <v>6</v>
      </c>
      <c r="I16">
        <f>+I$4</f>
        <v>36686.75</v>
      </c>
      <c r="J16">
        <f t="shared" ref="J16:M16" si="11">+J$4</f>
        <v>54235.600000000006</v>
      </c>
      <c r="K16">
        <f t="shared" si="11"/>
        <v>45632.180000000008</v>
      </c>
      <c r="L16">
        <f t="shared" si="11"/>
        <v>31617.770000000004</v>
      </c>
      <c r="M16">
        <f t="shared" si="11"/>
        <v>19521.029999999992</v>
      </c>
      <c r="N16" s="3">
        <f>SUM(I16:M16)</f>
        <v>187693.33000000005</v>
      </c>
    </row>
    <row r="17" spans="3:14" x14ac:dyDescent="0.25">
      <c r="C17" s="72"/>
      <c r="D17" s="35"/>
      <c r="E17" s="35"/>
      <c r="F17" s="35"/>
      <c r="H17" s="3" t="s">
        <v>12</v>
      </c>
      <c r="I17" s="1">
        <f>IFERROR((I15/I16),"--")</f>
        <v>1.9695956855303081</v>
      </c>
      <c r="J17" s="1">
        <f t="shared" ref="J17:M17" si="12">IFERROR((J15/J16),"--")</f>
        <v>1.8652193452747021</v>
      </c>
      <c r="K17" s="1">
        <f t="shared" si="12"/>
        <v>2.2168848896235209</v>
      </c>
      <c r="L17" s="1">
        <f t="shared" si="12"/>
        <v>3.1995074390945546</v>
      </c>
      <c r="M17" s="1">
        <f t="shared" si="12"/>
        <v>3.701549790975633</v>
      </c>
      <c r="N17" s="6">
        <f t="shared" ref="N17" si="13">+N15/N16</f>
        <v>2.3868722452737128</v>
      </c>
    </row>
    <row r="18" spans="3:14" x14ac:dyDescent="0.25">
      <c r="E18" s="1"/>
      <c r="F18" s="1"/>
    </row>
    <row r="19" spans="3:14" x14ac:dyDescent="0.25">
      <c r="E19" s="1"/>
      <c r="F19" s="1"/>
      <c r="H19" s="3" t="s">
        <v>15</v>
      </c>
      <c r="I19" s="7">
        <f>+$D$6*$P$1</f>
        <v>0</v>
      </c>
      <c r="J19" s="7">
        <f>+$D$6*$Q$1</f>
        <v>0</v>
      </c>
      <c r="K19" s="7">
        <f>+$D$6*$R$1</f>
        <v>0</v>
      </c>
      <c r="L19" s="7">
        <f>+$D$6*$S$1</f>
        <v>0</v>
      </c>
      <c r="M19" s="7">
        <f>+$D$6*$T$1</f>
        <v>0</v>
      </c>
      <c r="N19" s="8">
        <f>SUM(I19:M19)</f>
        <v>0</v>
      </c>
    </row>
    <row r="20" spans="3:14" x14ac:dyDescent="0.25">
      <c r="E20" s="1"/>
      <c r="F20" s="1"/>
      <c r="H20" s="3" t="s">
        <v>6</v>
      </c>
      <c r="I20">
        <f>+I$4</f>
        <v>36686.75</v>
      </c>
      <c r="J20">
        <f t="shared" ref="J20:M20" si="14">+J$4</f>
        <v>54235.600000000006</v>
      </c>
      <c r="K20">
        <f t="shared" si="14"/>
        <v>45632.180000000008</v>
      </c>
      <c r="L20">
        <f t="shared" si="14"/>
        <v>31617.770000000004</v>
      </c>
      <c r="M20">
        <f t="shared" si="14"/>
        <v>19521.029999999992</v>
      </c>
      <c r="N20" s="3">
        <f>SUM(I20:M20)</f>
        <v>187693.33000000005</v>
      </c>
    </row>
    <row r="21" spans="3:14" x14ac:dyDescent="0.25">
      <c r="H21" s="3" t="s">
        <v>12</v>
      </c>
      <c r="I21" s="1">
        <f>IFERROR((I19/I20),"--")</f>
        <v>0</v>
      </c>
      <c r="J21" s="1">
        <f t="shared" ref="J21:M21" si="15">IFERROR((J19/J20),"--")</f>
        <v>0</v>
      </c>
      <c r="K21" s="1">
        <f t="shared" si="15"/>
        <v>0</v>
      </c>
      <c r="L21" s="1">
        <f t="shared" si="15"/>
        <v>0</v>
      </c>
      <c r="M21" s="1">
        <f t="shared" si="15"/>
        <v>0</v>
      </c>
      <c r="N21" s="6">
        <f t="shared" ref="N21" si="16">+N19/N20</f>
        <v>0</v>
      </c>
    </row>
    <row r="22" spans="3:14" x14ac:dyDescent="0.25">
      <c r="E22" s="1"/>
      <c r="F22" s="1"/>
    </row>
    <row r="23" spans="3:14" x14ac:dyDescent="0.25">
      <c r="E23" s="1"/>
      <c r="F23" s="1"/>
      <c r="H23" s="3" t="s">
        <v>16</v>
      </c>
      <c r="I23" s="7">
        <f>+$D$7*$P$1</f>
        <v>0</v>
      </c>
      <c r="J23" s="7">
        <f>+$D$7*$Q$1</f>
        <v>0</v>
      </c>
      <c r="K23" s="7">
        <f>+$D$7*$R$1</f>
        <v>0</v>
      </c>
      <c r="L23" s="7">
        <f>+$D$7*$S$1</f>
        <v>0</v>
      </c>
      <c r="M23" s="7">
        <f>+$D$7*$T$1</f>
        <v>0</v>
      </c>
      <c r="N23" s="8">
        <f>SUM(I23:M23)</f>
        <v>0</v>
      </c>
    </row>
    <row r="24" spans="3:14" x14ac:dyDescent="0.25">
      <c r="E24" s="1"/>
      <c r="F24" s="1"/>
      <c r="H24" s="3" t="s">
        <v>6</v>
      </c>
      <c r="I24">
        <f>+I$4</f>
        <v>36686.75</v>
      </c>
      <c r="J24">
        <f t="shared" ref="J24:M24" si="17">+J$4</f>
        <v>54235.600000000006</v>
      </c>
      <c r="K24">
        <f t="shared" si="17"/>
        <v>45632.180000000008</v>
      </c>
      <c r="L24">
        <f t="shared" si="17"/>
        <v>31617.770000000004</v>
      </c>
      <c r="M24">
        <f t="shared" si="17"/>
        <v>19521.029999999992</v>
      </c>
      <c r="N24" s="3">
        <f>SUM(I24:M24)</f>
        <v>187693.33000000005</v>
      </c>
    </row>
    <row r="25" spans="3:14" x14ac:dyDescent="0.25">
      <c r="H25" s="3" t="s">
        <v>12</v>
      </c>
      <c r="I25" s="1">
        <f>IFERROR((I23/I24),"--")</f>
        <v>0</v>
      </c>
      <c r="J25" s="1">
        <f t="shared" ref="J25:M25" si="18">IFERROR((J23/J24),"--")</f>
        <v>0</v>
      </c>
      <c r="K25" s="1">
        <f t="shared" si="18"/>
        <v>0</v>
      </c>
      <c r="L25" s="1">
        <f t="shared" si="18"/>
        <v>0</v>
      </c>
      <c r="M25" s="1">
        <f t="shared" si="18"/>
        <v>0</v>
      </c>
      <c r="N25" s="6">
        <f t="shared" ref="N25" si="19">+N23/N24</f>
        <v>0</v>
      </c>
    </row>
    <row r="26" spans="3:14" x14ac:dyDescent="0.25">
      <c r="E26" s="1"/>
      <c r="F26" s="1"/>
    </row>
    <row r="27" spans="3:14" x14ac:dyDescent="0.25">
      <c r="E27" s="1"/>
      <c r="F27" s="1"/>
      <c r="H27" s="5" t="s">
        <v>21</v>
      </c>
      <c r="I27" s="7">
        <f>+$D$8*$P$1</f>
        <v>26102.419354838708</v>
      </c>
      <c r="J27" s="7">
        <f>+$D$8*$Q$1</f>
        <v>36543.38709677419</v>
      </c>
      <c r="K27" s="7">
        <f>+$D$8*$R$1</f>
        <v>36543.38709677419</v>
      </c>
      <c r="L27" s="7">
        <f>+$D$8*$S$1</f>
        <v>36543.38709677419</v>
      </c>
      <c r="M27" s="7">
        <f>+$D$8*$T$1</f>
        <v>26102.419354838708</v>
      </c>
      <c r="N27" s="8">
        <f>SUM(I27:M27)</f>
        <v>161834.99999999997</v>
      </c>
    </row>
    <row r="28" spans="3:14" x14ac:dyDescent="0.25">
      <c r="E28" s="1"/>
      <c r="F28" s="1"/>
      <c r="H28" s="3" t="s">
        <v>6</v>
      </c>
      <c r="I28">
        <f>+I$4</f>
        <v>36686.75</v>
      </c>
      <c r="J28">
        <f t="shared" ref="J28:M28" si="20">+J$4</f>
        <v>54235.600000000006</v>
      </c>
      <c r="K28">
        <f t="shared" si="20"/>
        <v>45632.180000000008</v>
      </c>
      <c r="L28">
        <f t="shared" si="20"/>
        <v>31617.770000000004</v>
      </c>
      <c r="M28">
        <f t="shared" si="20"/>
        <v>19521.029999999992</v>
      </c>
      <c r="N28" s="3">
        <f>SUM(I28:M28)</f>
        <v>187693.33000000005</v>
      </c>
    </row>
    <row r="29" spans="3:14" x14ac:dyDescent="0.25">
      <c r="H29" s="3" t="s">
        <v>12</v>
      </c>
      <c r="I29" s="1">
        <f>IFERROR((I27/I28),"--")</f>
        <v>0.71149445930311916</v>
      </c>
      <c r="J29" s="1">
        <f t="shared" ref="J29:M29" si="21">IFERROR((J27/J28),"--")</f>
        <v>0.67378967130029332</v>
      </c>
      <c r="K29" s="1">
        <f t="shared" si="21"/>
        <v>0.80082492435763941</v>
      </c>
      <c r="L29" s="1">
        <f t="shared" si="21"/>
        <v>1.155786353584525</v>
      </c>
      <c r="M29" s="1">
        <f t="shared" si="21"/>
        <v>1.3371435500503159</v>
      </c>
      <c r="N29" s="6">
        <f t="shared" ref="N29" si="22">+N27/N28</f>
        <v>0.8622309594059625</v>
      </c>
    </row>
    <row r="30" spans="3:14" x14ac:dyDescent="0.25">
      <c r="E30" s="1"/>
      <c r="F30" s="1"/>
    </row>
    <row r="31" spans="3:14" x14ac:dyDescent="0.25">
      <c r="E31" s="1"/>
      <c r="F31" s="1"/>
      <c r="H31" s="5" t="s">
        <v>22</v>
      </c>
      <c r="I31" s="7">
        <f>+$D$9*$P$1</f>
        <v>22879.032258064515</v>
      </c>
      <c r="J31" s="7">
        <f>+$D$9*$Q$1</f>
        <v>32030.645161290326</v>
      </c>
      <c r="K31" s="7">
        <f>+$D$9*$R$1</f>
        <v>32030.645161290326</v>
      </c>
      <c r="L31" s="7">
        <f>+$D$9*$S$1</f>
        <v>32030.645161290326</v>
      </c>
      <c r="M31" s="7">
        <f>+$D$9*$T$1</f>
        <v>22879.032258064515</v>
      </c>
      <c r="N31" s="8">
        <f>SUM(I31:M31)</f>
        <v>141850</v>
      </c>
    </row>
    <row r="32" spans="3:14" x14ac:dyDescent="0.25">
      <c r="E32" s="1"/>
      <c r="F32" s="1"/>
      <c r="H32" s="3" t="s">
        <v>6</v>
      </c>
      <c r="I32">
        <f>+I$4</f>
        <v>36686.75</v>
      </c>
      <c r="J32">
        <f t="shared" ref="J32:M32" si="23">+J$4</f>
        <v>54235.600000000006</v>
      </c>
      <c r="K32">
        <f t="shared" si="23"/>
        <v>45632.180000000008</v>
      </c>
      <c r="L32">
        <f t="shared" si="23"/>
        <v>31617.770000000004</v>
      </c>
      <c r="M32">
        <f t="shared" si="23"/>
        <v>19521.029999999992</v>
      </c>
      <c r="N32" s="3">
        <f>SUM(I32:M32)</f>
        <v>187693.33000000005</v>
      </c>
    </row>
    <row r="33" spans="5:14" x14ac:dyDescent="0.25">
      <c r="H33" s="3" t="s">
        <v>12</v>
      </c>
      <c r="I33" s="1">
        <f>IFERROR((I31/I32),"--")</f>
        <v>0.6236320267689156</v>
      </c>
      <c r="J33" s="1">
        <f t="shared" ref="J33:M33" si="24">IFERROR((J31/J32),"--")</f>
        <v>0.59058340206967974</v>
      </c>
      <c r="K33" s="1">
        <f t="shared" si="24"/>
        <v>0.70193107498459029</v>
      </c>
      <c r="L33" s="1">
        <f t="shared" si="24"/>
        <v>1.0130583264186666</v>
      </c>
      <c r="M33" s="1">
        <f t="shared" si="24"/>
        <v>1.1720197273435125</v>
      </c>
      <c r="N33" s="6">
        <f t="shared" ref="N33" si="25">+N31/N32</f>
        <v>0.75575408033945568</v>
      </c>
    </row>
    <row r="34" spans="5:14" x14ac:dyDescent="0.25">
      <c r="E34" s="1"/>
      <c r="F34" s="1"/>
    </row>
    <row r="35" spans="5:14" x14ac:dyDescent="0.25">
      <c r="E35" s="1"/>
      <c r="F35" s="1"/>
      <c r="H35" s="5" t="s">
        <v>20</v>
      </c>
      <c r="I35" s="7">
        <f>+$D$10*$P$1</f>
        <v>35323.548387096773</v>
      </c>
      <c r="J35" s="7">
        <f>+$D$10*$Q$1</f>
        <v>49452.967741935485</v>
      </c>
      <c r="K35" s="7">
        <f>+$D$10*$R$1</f>
        <v>49452.967741935485</v>
      </c>
      <c r="L35" s="7">
        <f>+$D$10*$S$1</f>
        <v>49452.967741935485</v>
      </c>
      <c r="M35" s="7">
        <f>+$D$10*$T$1</f>
        <v>35323.548387096773</v>
      </c>
      <c r="N35" s="8">
        <f>SUM(I35:M35)</f>
        <v>219006</v>
      </c>
    </row>
    <row r="36" spans="5:14" x14ac:dyDescent="0.25">
      <c r="E36" s="1"/>
      <c r="F36" s="1"/>
      <c r="H36" s="3" t="s">
        <v>6</v>
      </c>
      <c r="I36">
        <f>+I$4</f>
        <v>36686.75</v>
      </c>
      <c r="J36">
        <f t="shared" ref="J36:M36" si="26">+J$4</f>
        <v>54235.600000000006</v>
      </c>
      <c r="K36">
        <f t="shared" si="26"/>
        <v>45632.180000000008</v>
      </c>
      <c r="L36">
        <f t="shared" si="26"/>
        <v>31617.770000000004</v>
      </c>
      <c r="M36">
        <f t="shared" si="26"/>
        <v>19521.029999999992</v>
      </c>
      <c r="N36" s="3">
        <f>SUM(I36:M36)</f>
        <v>187693.33000000005</v>
      </c>
    </row>
    <row r="37" spans="5:14" x14ac:dyDescent="0.25">
      <c r="H37" s="3" t="s">
        <v>12</v>
      </c>
      <c r="I37" s="1">
        <f>IFERROR((I35/I36),"--")</f>
        <v>0.96284212657422019</v>
      </c>
      <c r="J37" s="1">
        <f t="shared" ref="J37:M37" si="27">IFERROR((J35/J36),"--")</f>
        <v>0.91181747306078442</v>
      </c>
      <c r="K37" s="1">
        <f t="shared" si="27"/>
        <v>1.0837301163769839</v>
      </c>
      <c r="L37" s="1">
        <f t="shared" si="27"/>
        <v>1.5640877817105849</v>
      </c>
      <c r="M37" s="1">
        <f t="shared" si="27"/>
        <v>1.8095125301839496</v>
      </c>
      <c r="N37" s="6">
        <f t="shared" ref="N37" si="28">+N35/N36</f>
        <v>1.1668288905098543</v>
      </c>
    </row>
    <row r="38" spans="5:14" x14ac:dyDescent="0.25">
      <c r="E38" s="1"/>
      <c r="F38" s="1"/>
    </row>
    <row r="39" spans="5:14" x14ac:dyDescent="0.25">
      <c r="E39" s="1"/>
      <c r="F39" s="1"/>
      <c r="H39" s="5" t="s">
        <v>28</v>
      </c>
      <c r="I39" s="7">
        <f>+$D$11*$P$1</f>
        <v>17109.677419354841</v>
      </c>
      <c r="J39" s="7">
        <f>+$D$11*$Q$1</f>
        <v>23953.548387096773</v>
      </c>
      <c r="K39" s="7">
        <f>+$D$11*$R$1</f>
        <v>23953.548387096773</v>
      </c>
      <c r="L39" s="7">
        <f>+$D$11*$S$1</f>
        <v>23953.548387096773</v>
      </c>
      <c r="M39" s="7">
        <f>+$D$11*$T$1</f>
        <v>17109.677419354841</v>
      </c>
      <c r="N39" s="8">
        <f>SUM(I39:M39)</f>
        <v>106080</v>
      </c>
    </row>
    <row r="40" spans="5:14" x14ac:dyDescent="0.25">
      <c r="E40" s="1"/>
      <c r="F40" s="1"/>
      <c r="H40" s="3" t="s">
        <v>6</v>
      </c>
      <c r="I40">
        <f>+I$4</f>
        <v>36686.75</v>
      </c>
      <c r="J40">
        <f t="shared" ref="J40:M40" si="29">+J$4</f>
        <v>54235.600000000006</v>
      </c>
      <c r="K40">
        <f t="shared" si="29"/>
        <v>45632.180000000008</v>
      </c>
      <c r="L40">
        <f t="shared" si="29"/>
        <v>31617.770000000004</v>
      </c>
      <c r="M40">
        <f t="shared" si="29"/>
        <v>19521.029999999992</v>
      </c>
      <c r="N40" s="3">
        <f>SUM(I40:M40)</f>
        <v>187693.33000000005</v>
      </c>
    </row>
    <row r="41" spans="5:14" x14ac:dyDescent="0.25">
      <c r="H41" s="3" t="s">
        <v>12</v>
      </c>
      <c r="I41" s="1">
        <f>IFERROR((I39/I40),"--")</f>
        <v>0.46637212125235517</v>
      </c>
      <c r="J41" s="1">
        <f t="shared" ref="J41:M41" si="30">IFERROR((J39/J40),"--")</f>
        <v>0.44165729497040268</v>
      </c>
      <c r="K41" s="1">
        <f t="shared" si="30"/>
        <v>0.52492667207871224</v>
      </c>
      <c r="L41" s="1">
        <f t="shared" si="30"/>
        <v>0.75759765432846049</v>
      </c>
      <c r="M41" s="1">
        <f t="shared" si="30"/>
        <v>0.87647411122030183</v>
      </c>
      <c r="N41" s="6">
        <f t="shared" ref="N41" si="31">+N39/N40</f>
        <v>0.56517724950588266</v>
      </c>
    </row>
    <row r="42" spans="5:14" x14ac:dyDescent="0.25">
      <c r="E42" s="1"/>
      <c r="F42" s="1"/>
    </row>
    <row r="43" spans="5:14" x14ac:dyDescent="0.25">
      <c r="E43" s="1"/>
      <c r="F43" s="1"/>
      <c r="H43" s="5" t="s">
        <v>19</v>
      </c>
      <c r="I43" s="7">
        <f>+$D$12*$P$1</f>
        <v>0</v>
      </c>
      <c r="J43" s="7">
        <f>+$D$12*$Q$1</f>
        <v>0</v>
      </c>
      <c r="K43" s="7">
        <f>+$D$12*$R$1</f>
        <v>0</v>
      </c>
      <c r="L43" s="7">
        <f>+$D$12*$S$1</f>
        <v>0</v>
      </c>
      <c r="M43" s="7">
        <f>+$D$12*$T$1</f>
        <v>0</v>
      </c>
      <c r="N43" s="8">
        <f>SUM(I43:M43)</f>
        <v>0</v>
      </c>
    </row>
    <row r="44" spans="5:14" x14ac:dyDescent="0.25">
      <c r="E44" s="1"/>
      <c r="F44" s="1"/>
      <c r="H44" s="3" t="s">
        <v>6</v>
      </c>
      <c r="I44">
        <f>+I$4</f>
        <v>36686.75</v>
      </c>
      <c r="J44">
        <f t="shared" ref="J44:M44" si="32">+J$4</f>
        <v>54235.600000000006</v>
      </c>
      <c r="K44">
        <f t="shared" si="32"/>
        <v>45632.180000000008</v>
      </c>
      <c r="L44">
        <f t="shared" si="32"/>
        <v>31617.770000000004</v>
      </c>
      <c r="M44">
        <f t="shared" si="32"/>
        <v>19521.029999999992</v>
      </c>
      <c r="N44" s="3">
        <f>SUM(I44:M44)</f>
        <v>187693.33000000005</v>
      </c>
    </row>
    <row r="45" spans="5:14" x14ac:dyDescent="0.25">
      <c r="H45" s="3" t="s">
        <v>12</v>
      </c>
      <c r="I45" s="1">
        <f>IFERROR((I43/I44),"--")</f>
        <v>0</v>
      </c>
      <c r="J45" s="1">
        <f t="shared" ref="J45:M45" si="33">IFERROR((J43/J44),"--")</f>
        <v>0</v>
      </c>
      <c r="K45" s="1">
        <f t="shared" si="33"/>
        <v>0</v>
      </c>
      <c r="L45" s="1">
        <f t="shared" si="33"/>
        <v>0</v>
      </c>
      <c r="M45" s="1">
        <f t="shared" si="33"/>
        <v>0</v>
      </c>
      <c r="N45" s="6">
        <f t="shared" ref="N45" si="34">+N43/N44</f>
        <v>0</v>
      </c>
    </row>
    <row r="46" spans="5:14" x14ac:dyDescent="0.25">
      <c r="E46" s="1"/>
      <c r="F46" s="1"/>
    </row>
    <row r="47" spans="5:14" x14ac:dyDescent="0.25">
      <c r="E47" s="1"/>
      <c r="F47" s="1"/>
    </row>
    <row r="48" spans="5:14" x14ac:dyDescent="0.25">
      <c r="E48" s="1"/>
      <c r="F48" s="1"/>
    </row>
  </sheetData>
  <mergeCells count="1">
    <mergeCell ref="U2:A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5689-25CE-467F-BC8E-D9172D7BDE72}">
  <dimension ref="B1:P55"/>
  <sheetViews>
    <sheetView showGridLines="0" topLeftCell="A21" zoomScaleNormal="100" workbookViewId="0">
      <selection activeCell="Q31" sqref="Q31"/>
    </sheetView>
  </sheetViews>
  <sheetFormatPr defaultRowHeight="15" x14ac:dyDescent="0.25"/>
  <cols>
    <col min="2" max="2" width="30.5703125" bestFit="1" customWidth="1"/>
    <col min="3" max="3" width="12.85546875" bestFit="1" customWidth="1"/>
    <col min="4" max="4" width="11.7109375" bestFit="1" customWidth="1"/>
    <col min="5" max="6" width="12.5703125" bestFit="1" customWidth="1"/>
    <col min="7" max="7" width="12.140625" bestFit="1" customWidth="1"/>
    <col min="8" max="8" width="12.5703125" bestFit="1" customWidth="1"/>
    <col min="9" max="10" width="11.5703125" bestFit="1" customWidth="1"/>
    <col min="11" max="13" width="10.5703125" customWidth="1"/>
    <col min="16" max="16" width="9.5703125" bestFit="1" customWidth="1"/>
  </cols>
  <sheetData>
    <row r="1" spans="2:13" ht="15.75" thickBot="1" x14ac:dyDescent="0.3"/>
    <row r="2" spans="2:13" ht="19.5" thickBot="1" x14ac:dyDescent="0.35">
      <c r="B2" s="171" t="s">
        <v>68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3"/>
    </row>
    <row r="3" spans="2:13" ht="15.75" thickBot="1" x14ac:dyDescent="0.3">
      <c r="B3" s="83" t="s">
        <v>29</v>
      </c>
      <c r="C3" s="91">
        <v>203066.96000000002</v>
      </c>
      <c r="D3" s="91">
        <v>181339.14499999996</v>
      </c>
      <c r="E3" s="91">
        <v>193629.46500000003</v>
      </c>
      <c r="F3" s="91">
        <v>133326.06</v>
      </c>
      <c r="G3" s="91">
        <v>177789.13500000004</v>
      </c>
      <c r="H3" s="91">
        <v>130420.67</v>
      </c>
      <c r="I3" s="91">
        <v>163802</v>
      </c>
      <c r="J3" s="91">
        <v>198269.48000000004</v>
      </c>
      <c r="K3" s="91">
        <v>198390.3</v>
      </c>
      <c r="L3" s="91">
        <v>213953.9</v>
      </c>
      <c r="M3" s="92">
        <v>215304.99</v>
      </c>
    </row>
    <row r="4" spans="2:13" ht="15.75" thickBot="1" x14ac:dyDescent="0.3">
      <c r="B4" s="88" t="s">
        <v>55</v>
      </c>
      <c r="C4" s="84">
        <v>45658</v>
      </c>
      <c r="D4" s="84">
        <v>45689</v>
      </c>
      <c r="E4" s="84">
        <v>45717</v>
      </c>
      <c r="F4" s="84">
        <v>45748</v>
      </c>
      <c r="G4" s="84">
        <v>45778</v>
      </c>
      <c r="H4" s="84">
        <v>45809</v>
      </c>
      <c r="I4" s="84">
        <v>45839</v>
      </c>
      <c r="J4" s="84">
        <v>45870</v>
      </c>
      <c r="K4" s="84">
        <v>45901</v>
      </c>
      <c r="L4" s="84">
        <v>45931</v>
      </c>
      <c r="M4" s="84">
        <v>45962</v>
      </c>
    </row>
    <row r="5" spans="2:13" ht="15" customHeight="1" x14ac:dyDescent="0.25">
      <c r="B5" s="17" t="s">
        <v>87</v>
      </c>
      <c r="C5" s="15">
        <v>39.700000000000003</v>
      </c>
      <c r="D5" s="15">
        <v>37.61</v>
      </c>
      <c r="E5" s="15">
        <v>56.6</v>
      </c>
      <c r="F5" s="15">
        <v>64.81</v>
      </c>
      <c r="G5" s="15">
        <v>91.97</v>
      </c>
      <c r="H5" s="15">
        <v>102.46</v>
      </c>
      <c r="I5" s="15">
        <v>151.76</v>
      </c>
      <c r="J5" s="15">
        <v>85.8</v>
      </c>
      <c r="K5" s="15">
        <v>149.57999999999998</v>
      </c>
      <c r="L5" s="15">
        <v>189.76</v>
      </c>
      <c r="M5" s="85">
        <v>266.14999999999998</v>
      </c>
    </row>
    <row r="6" spans="2:13" ht="15" customHeight="1" x14ac:dyDescent="0.25">
      <c r="B6" s="18" t="s">
        <v>88</v>
      </c>
      <c r="C6" s="89">
        <v>6.3880279777531997E-3</v>
      </c>
      <c r="D6" s="89">
        <v>6.62951653631605E-3</v>
      </c>
      <c r="E6" s="89">
        <v>9.2536855721205135E-3</v>
      </c>
      <c r="F6" s="89">
        <v>1.4749013990905542E-2</v>
      </c>
      <c r="G6" s="89">
        <v>1.4400501432031931E-2</v>
      </c>
      <c r="H6" s="89">
        <v>2.1114525774641926E-2</v>
      </c>
      <c r="I6" s="89">
        <v>2.4536016390076004E-2</v>
      </c>
      <c r="J6" s="89">
        <v>1.0908719103787564E-2</v>
      </c>
      <c r="K6" s="89">
        <v>2.1512304692970906E-2</v>
      </c>
      <c r="L6" s="89">
        <v>2.4876980559670653E-2</v>
      </c>
      <c r="M6" s="90">
        <v>4.0467071101752142E-2</v>
      </c>
    </row>
    <row r="7" spans="2:13" ht="15" customHeight="1" x14ac:dyDescent="0.25">
      <c r="B7" s="18" t="s">
        <v>89</v>
      </c>
      <c r="C7" s="15">
        <v>137.19999999999999</v>
      </c>
      <c r="D7" s="15">
        <v>39.42</v>
      </c>
      <c r="E7" s="15">
        <v>80.22</v>
      </c>
      <c r="F7" s="15">
        <v>51.05</v>
      </c>
      <c r="G7" s="15">
        <v>132.82999999999998</v>
      </c>
      <c r="H7" s="15">
        <v>124.97</v>
      </c>
      <c r="I7" s="15">
        <v>145.32</v>
      </c>
      <c r="J7" s="15">
        <v>150.85</v>
      </c>
      <c r="K7" s="15">
        <v>182</v>
      </c>
      <c r="L7" s="15">
        <v>147.36000000000001</v>
      </c>
      <c r="M7" s="85">
        <v>69.44</v>
      </c>
    </row>
    <row r="8" spans="2:13" ht="15" customHeight="1" x14ac:dyDescent="0.25">
      <c r="B8" s="18" t="s">
        <v>90</v>
      </c>
      <c r="C8" s="89">
        <v>2.1978395565849542E-2</v>
      </c>
      <c r="D8" s="89">
        <v>6.8992581602373886E-3</v>
      </c>
      <c r="E8" s="89">
        <v>1.3139422244481143E-2</v>
      </c>
      <c r="F8" s="89">
        <v>1.162756072384467E-2</v>
      </c>
      <c r="G8" s="89">
        <v>2.080092903370654E-2</v>
      </c>
      <c r="H8" s="89">
        <v>2.5787403443328659E-2</v>
      </c>
      <c r="I8" s="89">
        <v>2.3511668395969257E-2</v>
      </c>
      <c r="J8" s="89">
        <v>1.9194041397290799E-2</v>
      </c>
      <c r="K8" s="89">
        <v>2.6226293821368589E-2</v>
      </c>
      <c r="L8" s="89">
        <v>1.9285872249224224E-2</v>
      </c>
      <c r="M8" s="90">
        <v>1.0510947029466439E-2</v>
      </c>
    </row>
    <row r="9" spans="2:13" x14ac:dyDescent="0.25">
      <c r="B9" s="18" t="s">
        <v>31</v>
      </c>
      <c r="C9" s="93">
        <v>4848</v>
      </c>
      <c r="D9" s="93">
        <v>6399</v>
      </c>
      <c r="E9" s="93">
        <v>9254.76</v>
      </c>
      <c r="F9" s="93">
        <v>5148</v>
      </c>
      <c r="G9" s="93">
        <v>7980</v>
      </c>
      <c r="H9" s="93">
        <v>6462</v>
      </c>
      <c r="I9" s="93">
        <v>7198</v>
      </c>
      <c r="J9" s="93">
        <v>9287</v>
      </c>
      <c r="K9" s="93">
        <v>9265</v>
      </c>
      <c r="L9" s="93">
        <v>15960</v>
      </c>
      <c r="M9" s="94">
        <v>14875</v>
      </c>
    </row>
    <row r="10" spans="2:13" x14ac:dyDescent="0.25">
      <c r="B10" s="18" t="s">
        <v>91</v>
      </c>
      <c r="C10" s="89">
        <f>+C9/C3</f>
        <v>2.3873898540658703E-2</v>
      </c>
      <c r="D10" s="89">
        <f>+D9/D3</f>
        <v>3.528747199067251E-2</v>
      </c>
      <c r="E10" s="89">
        <f>+E9/E3</f>
        <v>4.7796238036395954E-2</v>
      </c>
      <c r="F10" s="89">
        <f t="shared" ref="F10:K10" si="0">+F9/F3</f>
        <v>3.8612106290398143E-2</v>
      </c>
      <c r="G10" s="89">
        <f t="shared" si="0"/>
        <v>4.4884632573300942E-2</v>
      </c>
      <c r="H10" s="89">
        <f t="shared" si="0"/>
        <v>4.9547360859287105E-2</v>
      </c>
      <c r="I10" s="89">
        <f t="shared" si="0"/>
        <v>4.3943297395636197E-2</v>
      </c>
      <c r="J10" s="89">
        <f t="shared" si="0"/>
        <v>4.6840290295813547E-2</v>
      </c>
      <c r="K10" s="89">
        <f t="shared" si="0"/>
        <v>4.6700871968034734E-2</v>
      </c>
      <c r="L10" s="89">
        <f>+L9/L3</f>
        <v>7.4595508658640952E-2</v>
      </c>
      <c r="M10" s="90">
        <f>+M9/M3</f>
        <v>6.9088041108568823E-2</v>
      </c>
    </row>
    <row r="11" spans="2:13" x14ac:dyDescent="0.25">
      <c r="B11" s="18" t="s">
        <v>35</v>
      </c>
      <c r="C11" s="15">
        <v>4.8401817804334089</v>
      </c>
      <c r="D11" s="15">
        <v>4.4375710285829362</v>
      </c>
      <c r="E11" s="15">
        <v>4.9487922718786619</v>
      </c>
      <c r="F11" s="15">
        <v>6.4132998455065726</v>
      </c>
      <c r="G11" s="15">
        <v>5.6688278504757887</v>
      </c>
      <c r="H11" s="15">
        <v>8.2283659484344014</v>
      </c>
      <c r="I11" s="15">
        <v>6.563450915390507</v>
      </c>
      <c r="J11" s="15">
        <v>6.563450915390507</v>
      </c>
      <c r="K11" s="15">
        <v>6.8602561436231806</v>
      </c>
      <c r="L11" s="15">
        <v>5.9775735769584353</v>
      </c>
      <c r="M11" s="85">
        <v>5.9967859826608114</v>
      </c>
    </row>
    <row r="12" spans="2:13" x14ac:dyDescent="0.25">
      <c r="B12" s="18" t="s">
        <v>1</v>
      </c>
      <c r="C12" s="15">
        <v>0.97233937022546646</v>
      </c>
      <c r="D12" s="15">
        <v>1.0888437794277681</v>
      </c>
      <c r="E12" s="15">
        <v>1.3995803789469747</v>
      </c>
      <c r="F12" s="15">
        <v>2.0326108789234452</v>
      </c>
      <c r="G12" s="15">
        <v>1.5242776224767614</v>
      </c>
      <c r="H12" s="15">
        <v>0.52905724223008521</v>
      </c>
      <c r="I12" s="15">
        <v>1.6644013995497438</v>
      </c>
      <c r="J12" s="15">
        <v>1.6644013995497438</v>
      </c>
      <c r="K12" s="15">
        <v>1.3407916295890736</v>
      </c>
      <c r="L12" s="15">
        <v>1.2432586519701654</v>
      </c>
      <c r="M12" s="85">
        <v>1.2354566834744045</v>
      </c>
    </row>
    <row r="13" spans="2:13" x14ac:dyDescent="0.25">
      <c r="B13" s="18" t="s">
        <v>10</v>
      </c>
      <c r="C13" s="15">
        <v>0.11134258374676018</v>
      </c>
      <c r="D13" s="15">
        <v>0.12529010214534764</v>
      </c>
      <c r="E13" s="15">
        <v>0.62013805595135008</v>
      </c>
      <c r="F13" s="15">
        <v>9.4122634389705959E-2</v>
      </c>
      <c r="G13" s="15">
        <v>8.2378487301825259E-2</v>
      </c>
      <c r="H13" s="15">
        <v>9.9248071643858293E-2</v>
      </c>
      <c r="I13" s="15">
        <v>7.4020469514521334E-2</v>
      </c>
      <c r="J13" s="15">
        <v>7.4020469514521334E-2</v>
      </c>
      <c r="K13" s="15">
        <v>0.10556465826497734</v>
      </c>
      <c r="L13" s="15">
        <v>0.10835513281437724</v>
      </c>
      <c r="M13" s="85">
        <v>0.13033603553255166</v>
      </c>
    </row>
    <row r="14" spans="2:13" x14ac:dyDescent="0.25">
      <c r="B14" s="18" t="s">
        <v>9</v>
      </c>
      <c r="C14" s="15">
        <v>1.2311210056032749</v>
      </c>
      <c r="D14" s="15">
        <v>1.3786322859303217</v>
      </c>
      <c r="E14" s="15">
        <v>1.2911258108366925</v>
      </c>
      <c r="F14" s="15">
        <v>1.8751022868297467</v>
      </c>
      <c r="G14" s="15">
        <v>1.4061601683364957</v>
      </c>
      <c r="H14" s="15">
        <v>1.9168740660510333</v>
      </c>
      <c r="I14" s="15">
        <v>2.0174562418784774</v>
      </c>
      <c r="J14" s="15">
        <v>2.0174562418784774</v>
      </c>
      <c r="K14" s="15">
        <v>2.0162280144196596</v>
      </c>
      <c r="L14" s="15">
        <v>1.8695618826619027</v>
      </c>
      <c r="M14" s="85">
        <v>1.857829599209631</v>
      </c>
    </row>
    <row r="15" spans="2:13" x14ac:dyDescent="0.25">
      <c r="B15" s="18" t="s">
        <v>15</v>
      </c>
      <c r="C15" s="15">
        <v>0.11326313251550128</v>
      </c>
      <c r="D15" s="15">
        <v>6.617434972465544E-3</v>
      </c>
      <c r="E15" s="15">
        <v>2.8404767838407233E-2</v>
      </c>
      <c r="F15" s="15">
        <v>1.125061372097848E-2</v>
      </c>
      <c r="G15" s="15">
        <v>3.487277217474509E-2</v>
      </c>
      <c r="H15" s="15">
        <v>7.2841214509939259E-2</v>
      </c>
      <c r="I15" s="15">
        <v>0</v>
      </c>
      <c r="J15" s="15">
        <v>0</v>
      </c>
      <c r="K15" s="15">
        <v>0.1048438567498223</v>
      </c>
      <c r="L15" s="15">
        <v>8.4130284719785633E-2</v>
      </c>
      <c r="M15" s="85">
        <v>0.11146977595257786</v>
      </c>
    </row>
    <row r="16" spans="2:13" x14ac:dyDescent="0.25">
      <c r="B16" s="18" t="s">
        <v>16</v>
      </c>
      <c r="C16" s="15">
        <v>3.6933630168098246E-2</v>
      </c>
      <c r="D16" s="15">
        <v>0.10918767704568147</v>
      </c>
      <c r="E16" s="15">
        <v>9.7454176201953555E-2</v>
      </c>
      <c r="F16" s="15">
        <v>1.4678300701303257</v>
      </c>
      <c r="G16" s="15">
        <v>4.0497412848091073E-2</v>
      </c>
      <c r="H16" s="15">
        <v>0</v>
      </c>
      <c r="I16" s="15">
        <v>1.0250896910608731</v>
      </c>
      <c r="J16" s="15">
        <v>1.0250896910608731</v>
      </c>
      <c r="K16" s="15">
        <v>1.4617653104542532E-2</v>
      </c>
      <c r="L16" s="15">
        <v>2.0518441662214382E-2</v>
      </c>
      <c r="M16" s="85">
        <v>0</v>
      </c>
    </row>
    <row r="17" spans="2:16" x14ac:dyDescent="0.25">
      <c r="B17" s="18" t="s">
        <v>17</v>
      </c>
      <c r="C17" s="15">
        <v>7.0912569922748627E-3</v>
      </c>
      <c r="D17" s="15">
        <v>7.9409219669586521E-3</v>
      </c>
      <c r="E17" s="15">
        <v>0.17656403688353936</v>
      </c>
      <c r="F17" s="15">
        <v>0.57003109519624295</v>
      </c>
      <c r="G17" s="15">
        <v>0.92244107042874113</v>
      </c>
      <c r="H17" s="15">
        <v>1.9725247539366269</v>
      </c>
      <c r="I17" s="15">
        <v>1.552372054438232</v>
      </c>
      <c r="J17" s="15">
        <v>1.552372054438232</v>
      </c>
      <c r="K17" s="15">
        <v>1.9995134841801208</v>
      </c>
      <c r="L17" s="15">
        <v>2.3921979069600376</v>
      </c>
      <c r="M17" s="85">
        <v>0.38454750416640349</v>
      </c>
    </row>
    <row r="18" spans="2:16" x14ac:dyDescent="0.25">
      <c r="B18" s="18" t="s">
        <v>18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85">
        <v>0</v>
      </c>
    </row>
    <row r="19" spans="2:16" x14ac:dyDescent="0.25">
      <c r="B19" s="18" t="s">
        <v>20</v>
      </c>
      <c r="C19" s="15">
        <v>0.90929612577053387</v>
      </c>
      <c r="D19" s="15">
        <v>0.59271813595459499</v>
      </c>
      <c r="E19" s="15">
        <v>0.4386006024444678</v>
      </c>
      <c r="F19" s="15">
        <v>1.4864310848156768</v>
      </c>
      <c r="G19" s="15">
        <v>1.1466054998242718</v>
      </c>
      <c r="H19" s="15">
        <v>2.6993650623018577</v>
      </c>
      <c r="I19" s="15">
        <v>0.77480911333403391</v>
      </c>
      <c r="J19" s="15">
        <v>0.77480911333403391</v>
      </c>
      <c r="K19" s="15">
        <v>4.2672709839686691</v>
      </c>
      <c r="L19" s="15">
        <v>3.2082990599796117</v>
      </c>
      <c r="M19" s="85">
        <v>1.525268811803111</v>
      </c>
    </row>
    <row r="20" spans="2:16" x14ac:dyDescent="0.25">
      <c r="B20" s="18" t="s">
        <v>50</v>
      </c>
      <c r="C20" s="15">
        <v>4.0971707066476987E-2</v>
      </c>
      <c r="D20" s="15">
        <v>5.1615992785231241E-2</v>
      </c>
      <c r="E20" s="15">
        <v>2.4169875178862883E-2</v>
      </c>
      <c r="F20" s="15">
        <v>7.8004255132117463E-3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85">
        <v>2.5080699589330017E-2</v>
      </c>
    </row>
    <row r="21" spans="2:16" x14ac:dyDescent="0.25">
      <c r="B21" s="18" t="s">
        <v>19</v>
      </c>
      <c r="C21" s="15">
        <v>0</v>
      </c>
      <c r="D21" s="15">
        <v>0</v>
      </c>
      <c r="E21" s="15">
        <v>3.8733774325100776</v>
      </c>
      <c r="F21" s="15">
        <v>0</v>
      </c>
      <c r="G21" s="15">
        <v>3.6647346307185749</v>
      </c>
      <c r="H21" s="15">
        <v>7.6924386295515887</v>
      </c>
      <c r="I21" s="15">
        <v>0</v>
      </c>
      <c r="J21" s="15">
        <v>0</v>
      </c>
      <c r="K21" s="15">
        <v>0</v>
      </c>
      <c r="L21" s="15">
        <v>0</v>
      </c>
      <c r="M21" s="85">
        <v>0</v>
      </c>
    </row>
    <row r="22" spans="2:16" x14ac:dyDescent="0.25">
      <c r="B22" s="18" t="s">
        <v>8</v>
      </c>
      <c r="C22" s="29">
        <f>SUM(C11:C21)</f>
        <v>8.2625405925217965</v>
      </c>
      <c r="D22" s="29">
        <f t="shared" ref="D22:L22" si="1">SUM(D11:D21)</f>
        <v>7.7984173588113048</v>
      </c>
      <c r="E22" s="29">
        <f t="shared" si="1"/>
        <v>12.898207408670988</v>
      </c>
      <c r="F22" s="29">
        <f t="shared" si="1"/>
        <v>13.958478935025907</v>
      </c>
      <c r="G22" s="29">
        <f t="shared" si="1"/>
        <v>14.490795514585297</v>
      </c>
      <c r="H22" s="29">
        <f t="shared" si="1"/>
        <v>23.21071498865939</v>
      </c>
      <c r="I22" s="29">
        <f t="shared" si="1"/>
        <v>13.671599885166387</v>
      </c>
      <c r="J22" s="29">
        <f t="shared" si="1"/>
        <v>13.671599885166387</v>
      </c>
      <c r="K22" s="29">
        <f t="shared" si="1"/>
        <v>16.709086423900047</v>
      </c>
      <c r="L22" s="29">
        <f t="shared" si="1"/>
        <v>14.903894937726527</v>
      </c>
      <c r="M22" s="86">
        <f>SUM(M11:M21)</f>
        <v>11.266775092388821</v>
      </c>
    </row>
    <row r="23" spans="2:16" x14ac:dyDescent="0.25">
      <c r="B23" s="26" t="s">
        <v>93</v>
      </c>
      <c r="C23" s="15">
        <v>25.15</v>
      </c>
      <c r="D23" s="15">
        <v>24.3910712163113</v>
      </c>
      <c r="E23" s="15">
        <v>23.768882489036468</v>
      </c>
      <c r="F23" s="15">
        <v>24.79</v>
      </c>
      <c r="G23" s="15">
        <v>24.67</v>
      </c>
      <c r="H23" s="15">
        <v>27.53</v>
      </c>
      <c r="I23" s="15">
        <v>27.230938417753453</v>
      </c>
      <c r="J23" s="15">
        <v>27.230938417753453</v>
      </c>
      <c r="K23" s="15">
        <v>27.713154869598945</v>
      </c>
      <c r="L23" s="15">
        <v>26.850105585844275</v>
      </c>
      <c r="M23" s="85">
        <v>24.082747841818573</v>
      </c>
    </row>
    <row r="24" spans="2:16" x14ac:dyDescent="0.25">
      <c r="B24" s="26" t="s">
        <v>94</v>
      </c>
      <c r="C24" s="15">
        <v>2.94</v>
      </c>
      <c r="D24" s="15">
        <v>4.3402912261442523</v>
      </c>
      <c r="E24" s="15">
        <v>6.07</v>
      </c>
      <c r="F24" s="15">
        <v>10.220000000000001</v>
      </c>
      <c r="G24" s="15">
        <v>9.0399999999999991</v>
      </c>
      <c r="H24" s="15">
        <v>12.61</v>
      </c>
      <c r="I24" s="15">
        <v>6.3640251641351933</v>
      </c>
      <c r="J24" s="15">
        <v>6.3640251641351933</v>
      </c>
      <c r="K24" s="15">
        <v>8.0325515980472026</v>
      </c>
      <c r="L24" s="15">
        <v>16.66211973637121</v>
      </c>
      <c r="M24" s="85">
        <v>8.8491181293937355</v>
      </c>
    </row>
    <row r="25" spans="2:16" ht="16.5" thickBot="1" x14ac:dyDescent="0.3">
      <c r="B25" s="23" t="s">
        <v>33</v>
      </c>
      <c r="C25" s="25">
        <f t="shared" ref="C25:M25" si="2">SUM(C22:C24)</f>
        <v>36.352540592521791</v>
      </c>
      <c r="D25" s="25">
        <f t="shared" si="2"/>
        <v>36.529779801266855</v>
      </c>
      <c r="E25" s="25">
        <f t="shared" si="2"/>
        <v>42.737089897707456</v>
      </c>
      <c r="F25" s="25">
        <f t="shared" si="2"/>
        <v>48.968478935025907</v>
      </c>
      <c r="G25" s="25">
        <f t="shared" si="2"/>
        <v>48.200795514585302</v>
      </c>
      <c r="H25" s="25">
        <f t="shared" si="2"/>
        <v>63.350714988659391</v>
      </c>
      <c r="I25" s="25">
        <f t="shared" si="2"/>
        <v>47.266563467055029</v>
      </c>
      <c r="J25" s="25">
        <f t="shared" si="2"/>
        <v>47.266563467055029</v>
      </c>
      <c r="K25" s="25">
        <f t="shared" si="2"/>
        <v>52.454792891546191</v>
      </c>
      <c r="L25" s="25">
        <f t="shared" si="2"/>
        <v>58.416120259942012</v>
      </c>
      <c r="M25" s="87">
        <f t="shared" si="2"/>
        <v>44.19864106360113</v>
      </c>
    </row>
    <row r="27" spans="2:16" ht="18.75" x14ac:dyDescent="0.3">
      <c r="B27" s="175" t="s">
        <v>140</v>
      </c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</row>
    <row r="28" spans="2:16" x14ac:dyDescent="0.25">
      <c r="B28" s="143" t="s">
        <v>29</v>
      </c>
      <c r="C28" s="144">
        <v>99406</v>
      </c>
      <c r="D28" s="144">
        <v>88615</v>
      </c>
      <c r="E28" s="144">
        <v>103091</v>
      </c>
      <c r="F28" s="144">
        <v>53726</v>
      </c>
      <c r="G28" s="144">
        <v>75472</v>
      </c>
      <c r="H28" s="144">
        <v>58995</v>
      </c>
      <c r="I28" s="144">
        <v>67121</v>
      </c>
      <c r="J28" s="144">
        <v>96824</v>
      </c>
      <c r="K28" s="144">
        <v>101701</v>
      </c>
      <c r="L28" s="144">
        <v>80318</v>
      </c>
      <c r="M28" s="144">
        <v>78684.63</v>
      </c>
      <c r="N28" s="144">
        <v>86408.81</v>
      </c>
      <c r="O28" s="144">
        <v>81890.81</v>
      </c>
      <c r="P28" s="144"/>
    </row>
    <row r="29" spans="2:16" x14ac:dyDescent="0.25">
      <c r="B29" s="145" t="s">
        <v>141</v>
      </c>
      <c r="C29" s="146">
        <v>16614</v>
      </c>
      <c r="D29" s="146">
        <v>12760</v>
      </c>
      <c r="E29" s="146">
        <v>10280</v>
      </c>
      <c r="F29" s="146">
        <v>11030</v>
      </c>
      <c r="G29" s="146">
        <v>10215</v>
      </c>
      <c r="H29" s="146">
        <v>7608</v>
      </c>
      <c r="I29" s="146">
        <v>7716</v>
      </c>
      <c r="J29" s="146">
        <v>18994</v>
      </c>
      <c r="K29" s="146">
        <v>28742</v>
      </c>
      <c r="L29" s="146">
        <v>23193</v>
      </c>
      <c r="M29" s="146">
        <v>11567.3</v>
      </c>
      <c r="N29" s="146">
        <v>20464.849999999999</v>
      </c>
      <c r="O29" s="146">
        <v>18926.05</v>
      </c>
    </row>
    <row r="30" spans="2:16" x14ac:dyDescent="0.25">
      <c r="B30" s="147" t="s">
        <v>142</v>
      </c>
      <c r="C30" s="148">
        <v>64976</v>
      </c>
      <c r="D30" s="148">
        <v>52280</v>
      </c>
      <c r="E30" s="148">
        <v>53443</v>
      </c>
      <c r="F30" s="148">
        <v>34453</v>
      </c>
      <c r="G30" s="148">
        <v>41263</v>
      </c>
      <c r="H30" s="148">
        <v>31663</v>
      </c>
      <c r="I30" s="148">
        <v>40897</v>
      </c>
      <c r="J30" s="148">
        <v>47542</v>
      </c>
      <c r="K30" s="148">
        <v>50438</v>
      </c>
      <c r="L30" s="148">
        <v>47953</v>
      </c>
      <c r="M30" s="148">
        <v>46853.7</v>
      </c>
      <c r="N30" s="148">
        <v>44501.7</v>
      </c>
      <c r="O30" s="148">
        <v>30949.5</v>
      </c>
    </row>
    <row r="31" spans="2:16" x14ac:dyDescent="0.25">
      <c r="B31" s="149" t="s">
        <v>55</v>
      </c>
      <c r="C31" s="150">
        <v>45658</v>
      </c>
      <c r="D31" s="150">
        <v>45689</v>
      </c>
      <c r="E31" s="150">
        <v>45717</v>
      </c>
      <c r="F31" s="150">
        <v>45748</v>
      </c>
      <c r="G31" s="150">
        <v>45778</v>
      </c>
      <c r="H31" s="150">
        <v>45809</v>
      </c>
      <c r="I31" s="150">
        <v>45839</v>
      </c>
      <c r="J31" s="150">
        <v>45870</v>
      </c>
      <c r="K31" s="150">
        <v>45901</v>
      </c>
      <c r="L31" s="150">
        <v>45931</v>
      </c>
      <c r="M31" s="150">
        <v>45962</v>
      </c>
      <c r="N31" s="150">
        <v>45992</v>
      </c>
      <c r="O31" s="150">
        <v>46023</v>
      </c>
      <c r="P31" s="150">
        <v>46054</v>
      </c>
    </row>
    <row r="32" spans="2:16" x14ac:dyDescent="0.25">
      <c r="B32" s="149" t="s">
        <v>35</v>
      </c>
      <c r="C32" s="151">
        <v>4.8401817804334089</v>
      </c>
      <c r="D32" s="151">
        <v>4.4375710285829362</v>
      </c>
      <c r="E32" s="151">
        <v>4.9487922718786619</v>
      </c>
      <c r="F32" s="151">
        <v>6.4132998455065726</v>
      </c>
      <c r="G32" s="151">
        <v>5.6688278504757887</v>
      </c>
      <c r="H32" s="151">
        <v>8.2283659484344014</v>
      </c>
      <c r="I32" s="151">
        <v>6.9239522984588957</v>
      </c>
      <c r="J32" s="151">
        <v>6.563450915390507</v>
      </c>
      <c r="K32" s="151">
        <v>6.8602561436231806</v>
      </c>
      <c r="L32" s="151">
        <v>5.9775735769584353</v>
      </c>
      <c r="M32" s="151">
        <v>5.9967859826608114</v>
      </c>
      <c r="N32" s="121">
        <v>5.7964196350598352</v>
      </c>
      <c r="O32" s="151">
        <v>6.9065410641124574</v>
      </c>
      <c r="P32" s="151">
        <v>7.4629292067893065</v>
      </c>
    </row>
    <row r="33" spans="2:16" x14ac:dyDescent="0.25">
      <c r="B33" s="152" t="s">
        <v>1</v>
      </c>
      <c r="C33" s="151">
        <v>0.97233937022546646</v>
      </c>
      <c r="D33" s="151">
        <v>1.0888437794277681</v>
      </c>
      <c r="E33" s="151">
        <v>1.3995803789469747</v>
      </c>
      <c r="F33" s="151">
        <v>2.0326108789234452</v>
      </c>
      <c r="G33" s="151">
        <v>1.5242776224767614</v>
      </c>
      <c r="H33" s="151">
        <v>0.52905724223008521</v>
      </c>
      <c r="I33" s="151">
        <v>0.44169111102896608</v>
      </c>
      <c r="J33" s="151">
        <v>1.6644013995497438</v>
      </c>
      <c r="K33" s="151">
        <v>1.3407916295890736</v>
      </c>
      <c r="L33" s="151">
        <v>1.2432586519701654</v>
      </c>
      <c r="M33" s="151">
        <v>1.2354566834744045</v>
      </c>
      <c r="N33" s="121">
        <v>1.1753562610874537</v>
      </c>
      <c r="O33" s="151">
        <v>1.5069929727033613</v>
      </c>
      <c r="P33" s="151">
        <v>1.7917347958606364</v>
      </c>
    </row>
    <row r="34" spans="2:16" x14ac:dyDescent="0.25">
      <c r="B34" s="152" t="s">
        <v>10</v>
      </c>
      <c r="C34" s="151">
        <v>0.11134258374676018</v>
      </c>
      <c r="D34" s="151">
        <v>0.12529010214534764</v>
      </c>
      <c r="E34" s="151">
        <v>0.62013805595135008</v>
      </c>
      <c r="F34" s="151">
        <v>9.4122634389705959E-2</v>
      </c>
      <c r="G34" s="151">
        <v>8.2378487301825259E-2</v>
      </c>
      <c r="H34" s="151">
        <v>9.9248071643858293E-2</v>
      </c>
      <c r="I34" s="151">
        <v>8.8735042139682405E-2</v>
      </c>
      <c r="J34" s="151">
        <v>7.4020469514521334E-2</v>
      </c>
      <c r="K34" s="151">
        <v>0.10556465826497734</v>
      </c>
      <c r="L34" s="151">
        <v>0.10835513281437724</v>
      </c>
      <c r="M34" s="151">
        <v>0.13033603553255166</v>
      </c>
      <c r="N34" s="121">
        <v>0.10971464647669729</v>
      </c>
      <c r="O34" s="151">
        <v>0.23329233478822473</v>
      </c>
      <c r="P34" s="151">
        <v>0.32018414925264982</v>
      </c>
    </row>
    <row r="35" spans="2:16" x14ac:dyDescent="0.25">
      <c r="B35" s="152" t="s">
        <v>9</v>
      </c>
      <c r="C35" s="151">
        <v>1.2311210056032749</v>
      </c>
      <c r="D35" s="151">
        <v>1.3786322859303217</v>
      </c>
      <c r="E35" s="151">
        <v>1.2911258108366925</v>
      </c>
      <c r="F35" s="151">
        <v>1.8751022868297467</v>
      </c>
      <c r="G35" s="151">
        <v>1.4061601683364957</v>
      </c>
      <c r="H35" s="151">
        <v>1.9168740660510333</v>
      </c>
      <c r="I35" s="151">
        <v>2.44196882393347</v>
      </c>
      <c r="J35" s="151">
        <v>2.0174562418784774</v>
      </c>
      <c r="K35" s="151">
        <v>2.0162280144196596</v>
      </c>
      <c r="L35" s="151">
        <v>1.8695618826619027</v>
      </c>
      <c r="M35" s="151">
        <v>1.857829599209631</v>
      </c>
      <c r="N35" s="121">
        <v>1.7674530241916599</v>
      </c>
      <c r="O35" s="151">
        <v>2.3557446239265354</v>
      </c>
      <c r="P35" s="151">
        <v>2.5563604730750482</v>
      </c>
    </row>
    <row r="36" spans="2:16" x14ac:dyDescent="0.25">
      <c r="B36" s="149" t="s">
        <v>15</v>
      </c>
      <c r="C36" s="151">
        <v>0.11326313251550128</v>
      </c>
      <c r="D36" s="151">
        <v>6.617434972465544E-3</v>
      </c>
      <c r="E36" s="151">
        <v>2.8404767838407233E-2</v>
      </c>
      <c r="F36" s="151">
        <v>1.125061372097848E-2</v>
      </c>
      <c r="G36" s="151">
        <v>3.487277217474509E-2</v>
      </c>
      <c r="H36" s="151">
        <v>7.2841214509939259E-2</v>
      </c>
      <c r="I36" s="151">
        <v>2.8693133681218251E-2</v>
      </c>
      <c r="J36" s="151">
        <v>0</v>
      </c>
      <c r="K36" s="151">
        <v>0.1048438567498223</v>
      </c>
      <c r="L36" s="151">
        <v>8.4130284719785633E-2</v>
      </c>
      <c r="M36" s="151">
        <v>0.11146977595257786</v>
      </c>
      <c r="N36" s="121">
        <v>0</v>
      </c>
      <c r="O36" s="151">
        <v>0</v>
      </c>
      <c r="P36" s="151">
        <v>7.4180103013338453E-2</v>
      </c>
    </row>
    <row r="37" spans="2:16" x14ac:dyDescent="0.25">
      <c r="B37" s="149" t="s">
        <v>16</v>
      </c>
      <c r="C37" s="151">
        <v>3.6933630168098246E-2</v>
      </c>
      <c r="D37" s="151">
        <v>0.10918767704568147</v>
      </c>
      <c r="E37" s="151">
        <v>9.7454176201953555E-2</v>
      </c>
      <c r="F37" s="151">
        <v>1.4678300701303257</v>
      </c>
      <c r="G37" s="151">
        <v>4.0497412848091073E-2</v>
      </c>
      <c r="H37" s="151">
        <v>0</v>
      </c>
      <c r="I37" s="151">
        <v>1.0683613604708924</v>
      </c>
      <c r="J37" s="151">
        <v>1.0250896910608731</v>
      </c>
      <c r="K37" s="151">
        <v>1.4617653104542532E-2</v>
      </c>
      <c r="L37" s="151">
        <v>2.0518441662214382E-2</v>
      </c>
      <c r="M37" s="151">
        <v>0</v>
      </c>
      <c r="N37" s="121">
        <v>0</v>
      </c>
      <c r="O37" s="151">
        <v>3.7597263529184667E-2</v>
      </c>
      <c r="P37" s="151">
        <v>0</v>
      </c>
    </row>
    <row r="38" spans="2:16" x14ac:dyDescent="0.25">
      <c r="B38" s="149" t="s">
        <v>17</v>
      </c>
      <c r="C38" s="151">
        <v>7.0912569922748627E-3</v>
      </c>
      <c r="D38" s="151">
        <v>7.9409219669586521E-3</v>
      </c>
      <c r="E38" s="151">
        <v>0.17656403688353936</v>
      </c>
      <c r="F38" s="151">
        <v>0.57003109519624295</v>
      </c>
      <c r="G38" s="151">
        <v>0.92244107042874113</v>
      </c>
      <c r="H38" s="151">
        <v>1.9725247539366269</v>
      </c>
      <c r="I38" s="151">
        <v>2.4593739567260542</v>
      </c>
      <c r="J38" s="151">
        <v>1.552372054438232</v>
      </c>
      <c r="K38" s="151">
        <v>1.9995134841801208</v>
      </c>
      <c r="L38" s="151">
        <v>2.3921979069600376</v>
      </c>
      <c r="M38" s="151">
        <v>0.38454750416640349</v>
      </c>
      <c r="N38" s="121">
        <v>2.9526628358889822</v>
      </c>
      <c r="O38" s="151">
        <v>1.127286902851274</v>
      </c>
      <c r="P38" s="151">
        <v>0.89732246918173375</v>
      </c>
    </row>
    <row r="39" spans="2:16" x14ac:dyDescent="0.25">
      <c r="B39" s="149" t="s">
        <v>18</v>
      </c>
      <c r="C39" s="151">
        <v>0</v>
      </c>
      <c r="D39" s="151">
        <v>0</v>
      </c>
      <c r="E39" s="151">
        <v>0</v>
      </c>
      <c r="F39" s="151">
        <v>0</v>
      </c>
      <c r="G39" s="151">
        <v>0</v>
      </c>
      <c r="H39" s="151">
        <v>0</v>
      </c>
      <c r="I39" s="151">
        <v>0.88460320646989887</v>
      </c>
      <c r="J39" s="151">
        <v>1.4910918210911732</v>
      </c>
      <c r="K39" s="151">
        <v>0.5891166229632443</v>
      </c>
      <c r="L39" s="151">
        <v>0</v>
      </c>
      <c r="M39" s="151">
        <v>0</v>
      </c>
      <c r="N39" s="121">
        <v>0</v>
      </c>
      <c r="O39" s="151">
        <v>0</v>
      </c>
      <c r="P39" s="151">
        <v>0.90028967330226728</v>
      </c>
    </row>
    <row r="40" spans="2:16" x14ac:dyDescent="0.25">
      <c r="B40" s="149" t="s">
        <v>20</v>
      </c>
      <c r="C40" s="151">
        <v>0.90929612577053387</v>
      </c>
      <c r="D40" s="151">
        <v>0.59271813595459499</v>
      </c>
      <c r="E40" s="151">
        <v>0.4386006024444678</v>
      </c>
      <c r="F40" s="151">
        <v>1.4864310848156768</v>
      </c>
      <c r="G40" s="151">
        <v>1.1466054998242718</v>
      </c>
      <c r="H40" s="151">
        <v>2.6993650623018577</v>
      </c>
      <c r="I40" s="151">
        <v>1.2901470739825898</v>
      </c>
      <c r="J40" s="151">
        <v>0.77480911333403391</v>
      </c>
      <c r="K40" s="151">
        <v>4.2672709839686691</v>
      </c>
      <c r="L40" s="151">
        <v>3.2082990599796117</v>
      </c>
      <c r="M40" s="151">
        <v>1.525268811803111</v>
      </c>
      <c r="N40" s="121">
        <v>1.1273080506248037</v>
      </c>
      <c r="O40" s="151">
        <v>1.1837511568060131</v>
      </c>
      <c r="P40" s="151">
        <v>1.1752239597167806</v>
      </c>
    </row>
    <row r="41" spans="2:16" x14ac:dyDescent="0.25">
      <c r="B41" s="149" t="s">
        <v>50</v>
      </c>
      <c r="C41" s="151">
        <v>4.0971707066476987E-2</v>
      </c>
      <c r="D41" s="151">
        <v>5.1615992785231241E-2</v>
      </c>
      <c r="E41" s="151">
        <v>2.4169875178862883E-2</v>
      </c>
      <c r="F41" s="151">
        <v>7.8004255132117463E-3</v>
      </c>
      <c r="G41" s="151">
        <v>0</v>
      </c>
      <c r="H41" s="151">
        <v>0</v>
      </c>
      <c r="I41" s="151">
        <v>0</v>
      </c>
      <c r="J41" s="151">
        <v>0</v>
      </c>
      <c r="K41" s="151">
        <v>0</v>
      </c>
      <c r="L41" s="151">
        <v>0</v>
      </c>
      <c r="M41" s="151">
        <v>2.5080699589330017E-2</v>
      </c>
      <c r="N41" s="121">
        <v>1.2929360735218041</v>
      </c>
      <c r="O41" s="151">
        <v>0.57426533566744853</v>
      </c>
      <c r="P41" s="151">
        <v>0.8709885326119986</v>
      </c>
    </row>
    <row r="42" spans="2:16" x14ac:dyDescent="0.25">
      <c r="B42" s="149" t="s">
        <v>19</v>
      </c>
      <c r="C42" s="151">
        <v>0</v>
      </c>
      <c r="D42" s="151">
        <v>0</v>
      </c>
      <c r="E42" s="151">
        <v>3.8733774325100776</v>
      </c>
      <c r="F42" s="151">
        <v>0</v>
      </c>
      <c r="G42" s="151">
        <v>3.6647346307185749</v>
      </c>
      <c r="H42" s="151">
        <v>0</v>
      </c>
      <c r="I42" s="151">
        <v>0</v>
      </c>
      <c r="J42" s="151">
        <v>0</v>
      </c>
      <c r="K42" s="151">
        <v>0</v>
      </c>
      <c r="L42" s="151">
        <v>0</v>
      </c>
      <c r="M42" s="151">
        <v>0</v>
      </c>
      <c r="N42" s="121">
        <v>0</v>
      </c>
      <c r="O42" s="151">
        <v>0</v>
      </c>
      <c r="P42" s="151">
        <v>0</v>
      </c>
    </row>
    <row r="43" spans="2:16" x14ac:dyDescent="0.25">
      <c r="B43" s="152" t="s">
        <v>8</v>
      </c>
      <c r="C43" s="153">
        <f t="shared" ref="C43:J43" si="3">SUM(C32:C42)</f>
        <v>8.2625405925217965</v>
      </c>
      <c r="D43" s="153">
        <f t="shared" si="3"/>
        <v>7.7984173588113048</v>
      </c>
      <c r="E43" s="153">
        <f t="shared" si="3"/>
        <v>12.898207408670988</v>
      </c>
      <c r="F43" s="153">
        <f t="shared" si="3"/>
        <v>13.958478935025907</v>
      </c>
      <c r="G43" s="153">
        <f t="shared" si="3"/>
        <v>14.490795514585297</v>
      </c>
      <c r="H43" s="153">
        <f t="shared" si="3"/>
        <v>15.518276359107801</v>
      </c>
      <c r="I43" s="153">
        <f t="shared" si="3"/>
        <v>15.627526006891667</v>
      </c>
      <c r="J43" s="153">
        <f t="shared" si="3"/>
        <v>15.16269170625756</v>
      </c>
      <c r="K43" s="153">
        <f>SUM(K32:K42)</f>
        <v>17.298203046863289</v>
      </c>
      <c r="L43" s="153">
        <f t="shared" ref="L43:N43" si="4">SUM(L32:L42)</f>
        <v>14.903894937726527</v>
      </c>
      <c r="M43" s="153">
        <f t="shared" si="4"/>
        <v>11.266775092388821</v>
      </c>
      <c r="N43" s="153">
        <f t="shared" si="4"/>
        <v>14.221850526851236</v>
      </c>
      <c r="O43" s="153">
        <f>SUM(O32:O42)</f>
        <v>13.925471654384497</v>
      </c>
      <c r="P43" s="153">
        <f>SUM(P32:P42)</f>
        <v>16.049213362803762</v>
      </c>
    </row>
    <row r="44" spans="2:16" x14ac:dyDescent="0.25">
      <c r="B44" s="149" t="s">
        <v>30</v>
      </c>
      <c r="C44" s="151">
        <v>25.15</v>
      </c>
      <c r="D44" s="151">
        <v>24.3910712163113</v>
      </c>
      <c r="E44" s="151">
        <v>23.768882489036468</v>
      </c>
      <c r="F44" s="151">
        <v>24.79</v>
      </c>
      <c r="G44" s="151">
        <v>24.67</v>
      </c>
      <c r="H44" s="151">
        <v>27.53</v>
      </c>
      <c r="I44" s="151">
        <v>26.84</v>
      </c>
      <c r="J44" s="151">
        <v>27.230938417753453</v>
      </c>
      <c r="K44" s="151">
        <v>27.713154869598945</v>
      </c>
      <c r="L44" s="151">
        <v>26.850105585844275</v>
      </c>
      <c r="M44" s="151">
        <v>24.082747841818573</v>
      </c>
      <c r="N44" s="151">
        <v>24.05</v>
      </c>
      <c r="O44" s="151">
        <v>27.007097706059497</v>
      </c>
      <c r="P44" s="151">
        <v>27.196456437021244</v>
      </c>
    </row>
    <row r="45" spans="2:16" x14ac:dyDescent="0.25">
      <c r="B45" s="149" t="s">
        <v>31</v>
      </c>
      <c r="C45" s="151">
        <v>2.94</v>
      </c>
      <c r="D45" s="151">
        <v>4.3402912261442523</v>
      </c>
      <c r="E45" s="151">
        <v>6.07</v>
      </c>
      <c r="F45" s="151">
        <v>10.220000000000001</v>
      </c>
      <c r="G45" s="151">
        <v>9.0399999999999991</v>
      </c>
      <c r="H45" s="151">
        <v>12.61</v>
      </c>
      <c r="I45" s="151">
        <v>6.37</v>
      </c>
      <c r="J45" s="151">
        <v>6.3640251641351933</v>
      </c>
      <c r="K45" s="151">
        <v>8.0325515980472026</v>
      </c>
      <c r="L45" s="151">
        <v>16.66211973637121</v>
      </c>
      <c r="M45" s="151">
        <v>8.8491181293937355</v>
      </c>
      <c r="N45" s="151">
        <v>7.36</v>
      </c>
      <c r="O45" s="151">
        <v>6.9797347857480512</v>
      </c>
      <c r="P45" s="151">
        <v>6.7926149713136992</v>
      </c>
    </row>
    <row r="46" spans="2:16" ht="15.75" x14ac:dyDescent="0.25">
      <c r="B46" s="154" t="s">
        <v>33</v>
      </c>
      <c r="C46" s="155">
        <f>+C45+C44+C43</f>
        <v>36.352540592521798</v>
      </c>
      <c r="D46" s="155">
        <f t="shared" ref="D46:O46" si="5">+D45+D44+D43</f>
        <v>36.529779801266855</v>
      </c>
      <c r="E46" s="155">
        <f t="shared" si="5"/>
        <v>42.737089897707456</v>
      </c>
      <c r="F46" s="155">
        <f t="shared" si="5"/>
        <v>48.968478935025907</v>
      </c>
      <c r="G46" s="155">
        <f t="shared" si="5"/>
        <v>48.200795514585295</v>
      </c>
      <c r="H46" s="155">
        <f t="shared" si="5"/>
        <v>55.658276359107802</v>
      </c>
      <c r="I46" s="155">
        <f t="shared" si="5"/>
        <v>48.837526006891665</v>
      </c>
      <c r="J46" s="155">
        <f t="shared" si="5"/>
        <v>48.757655288146211</v>
      </c>
      <c r="K46" s="155">
        <f t="shared" si="5"/>
        <v>53.043909514509437</v>
      </c>
      <c r="L46" s="155">
        <f t="shared" si="5"/>
        <v>58.416120259942012</v>
      </c>
      <c r="M46" s="155">
        <f t="shared" si="5"/>
        <v>44.19864106360113</v>
      </c>
      <c r="N46" s="155">
        <f t="shared" si="5"/>
        <v>45.631850526851238</v>
      </c>
      <c r="O46" s="155">
        <f t="shared" si="5"/>
        <v>47.912304146192042</v>
      </c>
      <c r="P46" s="155">
        <f t="shared" ref="P46" si="6">+P45+P44+P43</f>
        <v>50.038284771138706</v>
      </c>
    </row>
    <row r="47" spans="2:16" x14ac:dyDescent="0.25">
      <c r="B47" s="156" t="s">
        <v>143</v>
      </c>
      <c r="C47" s="156">
        <v>3.5</v>
      </c>
      <c r="D47" s="156">
        <v>3.5</v>
      </c>
      <c r="E47" s="156">
        <v>3.5</v>
      </c>
      <c r="F47" s="156">
        <v>3.5</v>
      </c>
      <c r="G47" s="156">
        <v>3.5</v>
      </c>
      <c r="H47" s="156">
        <v>3.5</v>
      </c>
      <c r="I47" s="156">
        <v>3.5</v>
      </c>
      <c r="J47" s="156">
        <v>3.5</v>
      </c>
      <c r="K47" s="151">
        <v>3.5</v>
      </c>
      <c r="L47" s="151">
        <v>3.5</v>
      </c>
      <c r="M47" s="151">
        <v>3.5</v>
      </c>
      <c r="N47" s="151">
        <v>3.5</v>
      </c>
      <c r="O47" s="151">
        <v>3.5</v>
      </c>
      <c r="P47" s="151"/>
    </row>
    <row r="48" spans="2:16" x14ac:dyDescent="0.25">
      <c r="B48" s="156" t="s">
        <v>144</v>
      </c>
      <c r="C48" s="156">
        <v>6.32</v>
      </c>
      <c r="D48" s="156">
        <v>7.4</v>
      </c>
      <c r="E48" s="156">
        <v>7.8</v>
      </c>
      <c r="F48" s="156">
        <v>6.9</v>
      </c>
      <c r="G48" s="156">
        <v>6.7</v>
      </c>
      <c r="H48" s="156">
        <v>6.8</v>
      </c>
      <c r="I48" s="156">
        <v>6.5</v>
      </c>
      <c r="J48" s="156">
        <v>6.4</v>
      </c>
      <c r="K48" s="156">
        <v>4.18</v>
      </c>
      <c r="L48" s="156">
        <v>5.17</v>
      </c>
      <c r="M48" s="156">
        <v>9.3699999999999992</v>
      </c>
      <c r="N48" s="156">
        <v>5.86</v>
      </c>
      <c r="O48" s="156">
        <v>6.34</v>
      </c>
      <c r="P48" s="156"/>
    </row>
    <row r="49" spans="2:16" x14ac:dyDescent="0.25">
      <c r="B49" s="156" t="s">
        <v>145</v>
      </c>
      <c r="C49" s="156">
        <v>1.51</v>
      </c>
      <c r="D49" s="156">
        <v>1.6</v>
      </c>
      <c r="E49" s="156">
        <v>1.62</v>
      </c>
      <c r="F49" s="156">
        <v>1.92</v>
      </c>
      <c r="G49" s="156">
        <v>1.75</v>
      </c>
      <c r="H49" s="156">
        <v>1.99</v>
      </c>
      <c r="I49" s="156">
        <v>1.8</v>
      </c>
      <c r="J49" s="156">
        <v>1.79</v>
      </c>
      <c r="K49" s="156">
        <v>1.62</v>
      </c>
      <c r="L49" s="156">
        <v>1.86</v>
      </c>
      <c r="M49" s="156">
        <v>1.91</v>
      </c>
      <c r="N49" s="156">
        <v>1.85</v>
      </c>
      <c r="O49" s="156">
        <v>2.15</v>
      </c>
      <c r="P49" s="156"/>
    </row>
    <row r="50" spans="2:16" x14ac:dyDescent="0.25">
      <c r="B50" s="156" t="s">
        <v>146</v>
      </c>
      <c r="C50" s="156">
        <v>4.79</v>
      </c>
      <c r="D50" s="156">
        <v>5.0999999999999996</v>
      </c>
      <c r="E50" s="156">
        <v>5.25</v>
      </c>
      <c r="F50" s="156">
        <v>4.9800000000000004</v>
      </c>
      <c r="G50" s="156">
        <v>4.9000000000000004</v>
      </c>
      <c r="H50" s="156">
        <v>5.71</v>
      </c>
      <c r="I50" s="156">
        <v>5.67</v>
      </c>
      <c r="J50" s="156">
        <v>4.67</v>
      </c>
      <c r="K50" s="156">
        <v>3.66</v>
      </c>
      <c r="L50" s="156">
        <v>4.76</v>
      </c>
      <c r="M50" s="156">
        <v>5.77</v>
      </c>
      <c r="N50" s="156">
        <v>3.26</v>
      </c>
      <c r="O50" s="156">
        <v>3.52</v>
      </c>
      <c r="P50" s="156"/>
    </row>
    <row r="51" spans="2:16" x14ac:dyDescent="0.25">
      <c r="B51" s="156" t="s">
        <v>147</v>
      </c>
      <c r="C51" s="156">
        <v>1.52</v>
      </c>
      <c r="D51" s="156">
        <v>1.65</v>
      </c>
      <c r="E51" s="156">
        <v>1.8</v>
      </c>
      <c r="F51" s="156">
        <v>1.55</v>
      </c>
      <c r="G51" s="156">
        <v>1.45</v>
      </c>
      <c r="H51" s="156">
        <v>1.33</v>
      </c>
      <c r="I51" s="156">
        <v>1.45</v>
      </c>
      <c r="J51" s="156">
        <v>1.66</v>
      </c>
      <c r="K51" s="156">
        <v>1.28</v>
      </c>
      <c r="L51" s="156">
        <v>1.51</v>
      </c>
      <c r="M51" s="156">
        <v>1.31</v>
      </c>
      <c r="N51" s="156">
        <v>1.34</v>
      </c>
      <c r="O51" s="156">
        <v>1.95</v>
      </c>
      <c r="P51" s="156"/>
    </row>
    <row r="52" spans="2:16" x14ac:dyDescent="0.25">
      <c r="B52" s="156" t="s">
        <v>148</v>
      </c>
      <c r="C52" s="156">
        <v>2.2000000000000002</v>
      </c>
      <c r="D52" s="156">
        <v>2.3199999999999998</v>
      </c>
      <c r="E52" s="156">
        <v>2.46</v>
      </c>
      <c r="F52" s="156">
        <v>2.46</v>
      </c>
      <c r="G52" s="156">
        <v>2.44</v>
      </c>
      <c r="H52" s="156">
        <v>2.46</v>
      </c>
      <c r="I52" s="156">
        <v>2.35</v>
      </c>
      <c r="J52" s="156">
        <v>2.11</v>
      </c>
      <c r="K52" s="156">
        <v>2.42</v>
      </c>
      <c r="L52" s="156">
        <v>2.31</v>
      </c>
      <c r="M52" s="156">
        <v>2.67</v>
      </c>
      <c r="N52" s="156">
        <v>2.4500000000000002</v>
      </c>
      <c r="O52" s="156">
        <v>2.5499999999999998</v>
      </c>
      <c r="P52" s="156"/>
    </row>
    <row r="53" spans="2:16" x14ac:dyDescent="0.25">
      <c r="B53" s="156" t="s">
        <v>149</v>
      </c>
      <c r="C53" s="156">
        <v>1.97</v>
      </c>
      <c r="D53" s="156">
        <v>1.85</v>
      </c>
      <c r="E53" s="156">
        <v>1.99</v>
      </c>
      <c r="F53" s="156">
        <v>2.0499999999999998</v>
      </c>
      <c r="G53" s="156">
        <v>3.05</v>
      </c>
      <c r="H53" s="156">
        <v>2.02</v>
      </c>
      <c r="I53" s="156">
        <v>2.06</v>
      </c>
      <c r="J53" s="156">
        <v>1.96</v>
      </c>
      <c r="K53" s="156">
        <v>2.08</v>
      </c>
      <c r="L53" s="156">
        <v>2.75</v>
      </c>
      <c r="M53" s="156">
        <v>2.35</v>
      </c>
      <c r="N53" s="156">
        <v>2.15</v>
      </c>
      <c r="O53" s="156">
        <v>2.0499999999999998</v>
      </c>
      <c r="P53" s="156"/>
    </row>
    <row r="54" spans="2:16" ht="15.75" x14ac:dyDescent="0.25">
      <c r="B54" s="154" t="s">
        <v>150</v>
      </c>
      <c r="C54" s="155">
        <f>+C46+C47+C49+C51+C53</f>
        <v>44.852540592521798</v>
      </c>
      <c r="D54" s="155">
        <f t="shared" ref="D54:O54" si="7">+D46+D47+D49+D51+D53</f>
        <v>45.129779801266857</v>
      </c>
      <c r="E54" s="155">
        <f t="shared" si="7"/>
        <v>51.647089897707453</v>
      </c>
      <c r="F54" s="155">
        <f t="shared" si="7"/>
        <v>57.988478935025903</v>
      </c>
      <c r="G54" s="155">
        <f t="shared" si="7"/>
        <v>57.950795514585295</v>
      </c>
      <c r="H54" s="155">
        <f t="shared" si="7"/>
        <v>64.498276359107805</v>
      </c>
      <c r="I54" s="155">
        <f t="shared" si="7"/>
        <v>57.647526006891667</v>
      </c>
      <c r="J54" s="155">
        <f t="shared" si="7"/>
        <v>57.667655288146207</v>
      </c>
      <c r="K54" s="155">
        <f t="shared" si="7"/>
        <v>61.523909514509434</v>
      </c>
      <c r="L54" s="155">
        <f t="shared" si="7"/>
        <v>68.03612025994201</v>
      </c>
      <c r="M54" s="155">
        <f t="shared" si="7"/>
        <v>53.26864106360113</v>
      </c>
      <c r="N54" s="155">
        <f t="shared" si="7"/>
        <v>54.471850526851242</v>
      </c>
      <c r="O54" s="155">
        <f t="shared" si="7"/>
        <v>57.562304146192041</v>
      </c>
      <c r="P54" s="155">
        <f t="shared" ref="P54" si="8">+P46+P47+P49+P51+P53</f>
        <v>50.038284771138706</v>
      </c>
    </row>
    <row r="55" spans="2:16" ht="15.75" x14ac:dyDescent="0.25">
      <c r="B55" s="157" t="s">
        <v>151</v>
      </c>
      <c r="C55" s="158">
        <f>+C46+C48+C50+C52+C53</f>
        <v>51.632540592521799</v>
      </c>
      <c r="D55" s="158">
        <f t="shared" ref="D55:O55" si="9">+D46+D48+D50+D52+D53</f>
        <v>53.199779801266857</v>
      </c>
      <c r="E55" s="158">
        <f t="shared" si="9"/>
        <v>60.237089897707456</v>
      </c>
      <c r="F55" s="158">
        <f t="shared" si="9"/>
        <v>65.358478935025914</v>
      </c>
      <c r="G55" s="158">
        <f t="shared" si="9"/>
        <v>65.290795514585298</v>
      </c>
      <c r="H55" s="158">
        <f t="shared" si="9"/>
        <v>72.648276359107783</v>
      </c>
      <c r="I55" s="158">
        <f t="shared" si="9"/>
        <v>65.417526006891663</v>
      </c>
      <c r="J55" s="158">
        <f t="shared" si="9"/>
        <v>63.897655288146211</v>
      </c>
      <c r="K55" s="158">
        <f t="shared" si="9"/>
        <v>65.38390951450944</v>
      </c>
      <c r="L55" s="158">
        <f t="shared" si="9"/>
        <v>73.406120259942014</v>
      </c>
      <c r="M55" s="158">
        <f t="shared" si="9"/>
        <v>64.358641063601127</v>
      </c>
      <c r="N55" s="158">
        <f t="shared" si="9"/>
        <v>59.351850526851237</v>
      </c>
      <c r="O55" s="158">
        <f t="shared" si="9"/>
        <v>62.372304146192043</v>
      </c>
      <c r="P55" s="158">
        <f t="shared" ref="P55" si="10">+P46+P48+P50+P52+P53</f>
        <v>50.038284771138706</v>
      </c>
    </row>
  </sheetData>
  <mergeCells count="2">
    <mergeCell ref="B2:M2"/>
    <mergeCell ref="B27:O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PRINTING</vt:lpstr>
      <vt:lpstr>PRINTING SUMMARY</vt:lpstr>
      <vt:lpstr>PT-01</vt:lpstr>
      <vt:lpstr>PT-01 SUMMARY</vt:lpstr>
      <vt:lpstr>PP</vt:lpstr>
      <vt:lpstr>PP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Jutt</dc:creator>
  <cp:lastModifiedBy>Faizan</cp:lastModifiedBy>
  <cp:lastPrinted>2025-10-09T07:36:18Z</cp:lastPrinted>
  <dcterms:created xsi:type="dcterms:W3CDTF">2024-09-24T12:40:29Z</dcterms:created>
  <dcterms:modified xsi:type="dcterms:W3CDTF">2026-05-11T07:49:11Z</dcterms:modified>
</cp:coreProperties>
</file>